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elnugent\Box\Current Billing\Submitted Recharges\"/>
    </mc:Choice>
  </mc:AlternateContent>
  <bookViews>
    <workbookView xWindow="0" yWindow="1545" windowWidth="15360" windowHeight="8340" firstSheet="1" activeTab="1"/>
  </bookViews>
  <sheets>
    <sheet name="DialogFile" sheetId="5" state="hidden" r:id="rId1"/>
    <sheet name="GL Template" sheetId="2" r:id="rId2"/>
    <sheet name="Instructions" sheetId="8" r:id="rId3"/>
    <sheet name="Web Links" sheetId="7" state="hidden" r:id="rId4"/>
    <sheet name="Drop Downs" sheetId="6" state="hidden" r:id="rId5"/>
    <sheet name="SOAP" sheetId="9" state="hidden" r:id="rId6"/>
    <sheet name="Change Log" sheetId="10" state="hidden" r:id="rId7"/>
  </sheets>
  <functionGroups builtInGroupCount="18"/>
  <definedNames>
    <definedName name="_xlnm._FilterDatabase" localSheetId="4" hidden="1">'Drop Downs'!$AD$1:$AD$2</definedName>
    <definedName name="_Ref1">'GL Template'!$N$16:$N$515</definedName>
    <definedName name="Account">'GL Template'!$C$16:$C$515</definedName>
    <definedName name="Account1">'GL Template'!$C$16:$C$515</definedName>
    <definedName name="AnalysisType">'Drop Downs'!$AH$1:$AH$4</definedName>
    <definedName name="Batch_ID">'GL Template'!$D$10</definedName>
    <definedName name="BatchIDPath">'GL Template'!$D$5</definedName>
    <definedName name="BU_List">'Drop Downs'!$AA$1:$AA$25</definedName>
    <definedName name="BusList">'Drop Downs'!$AA$1:$AB$25</definedName>
    <definedName name="BusUnitHdrI">'GL Template'!$B$10</definedName>
    <definedName name="Campus_List">'Drop Downs'!$AA$4:$AB$7</definedName>
    <definedName name="CampusList">'GL Template'!$Q5013:$R5024</definedName>
    <definedName name="Class">'GL Template'!$H$16:$H$515</definedName>
    <definedName name="co_number">'GL Template'!$AD$98:$AF$118</definedName>
    <definedName name="CtrlTot">'GL Template'!$L$10</definedName>
    <definedName name="DeptID">'GL Template'!$F$16:$F$515</definedName>
    <definedName name="DeptID1">'GL Template'!$F$16:$F$515</definedName>
    <definedName name="Desc1">'GL Template'!$L$16:$L$515</definedName>
    <definedName name="Descr">'GL Template'!$L$16</definedName>
    <definedName name="Fund">'GL Template'!$E$16:$E$515</definedName>
    <definedName name="Fund1">'GL Template'!$E$16:$E$515</definedName>
    <definedName name="GetCFData4PA.cfm?BU_0_AcctCode_0" localSheetId="3">'Web Links'!$C$7:$G$7</definedName>
    <definedName name="GetCFData4PA.cfm?BU_0_AcctCode_0_1" localSheetId="3">'Web Links'!$C$8:$G$8</definedName>
    <definedName name="GetCFData4PA.cfm?BU_0_AcctCode_0_10" localSheetId="3">'Web Links'!$C$16:$G$16</definedName>
    <definedName name="GetCFData4PA.cfm?BU_0_AcctCode_0_100" localSheetId="3">'Web Links'!$C$106:$G$106</definedName>
    <definedName name="GetCFData4PA.cfm?BU_0_AcctCode_0_101" localSheetId="3">'Web Links'!$C$107:$G$107</definedName>
    <definedName name="GetCFData4PA.cfm?BU_0_AcctCode_0_102" localSheetId="3">'Web Links'!$C$108:$G$108</definedName>
    <definedName name="GetCFData4PA.cfm?BU_0_AcctCode_0_103" localSheetId="3">'Web Links'!$C$109:$G$109</definedName>
    <definedName name="GetCFData4PA.cfm?BU_0_AcctCode_0_104" localSheetId="3">'Web Links'!$C$110:$G$110</definedName>
    <definedName name="GetCFData4PA.cfm?BU_0_AcctCode_0_105" localSheetId="3">'Web Links'!$C$111:$G$111</definedName>
    <definedName name="GetCFData4PA.cfm?BU_0_AcctCode_0_106" localSheetId="3">'Web Links'!$C$112:$G$112</definedName>
    <definedName name="GetCFData4PA.cfm?BU_0_AcctCode_0_107" localSheetId="3">'Web Links'!$C$113:$G$113</definedName>
    <definedName name="GetCFData4PA.cfm?BU_0_AcctCode_0_108" localSheetId="3">'Web Links'!$C$114:$G$114</definedName>
    <definedName name="GetCFData4PA.cfm?BU_0_AcctCode_0_109" localSheetId="3">'Web Links'!$C$115:$G$115</definedName>
    <definedName name="GetCFData4PA.cfm?BU_0_AcctCode_0_11" localSheetId="3">'Web Links'!$C$17:$G$17</definedName>
    <definedName name="GetCFData4PA.cfm?BU_0_AcctCode_0_110" localSheetId="3">'Web Links'!$C$116:$G$116</definedName>
    <definedName name="GetCFData4PA.cfm?BU_0_AcctCode_0_111" localSheetId="3">'Web Links'!$C$117:$G$117</definedName>
    <definedName name="GetCFData4PA.cfm?BU_0_AcctCode_0_112" localSheetId="3">'Web Links'!$C$118:$G$118</definedName>
    <definedName name="GetCFData4PA.cfm?BU_0_AcctCode_0_113" localSheetId="3">'Web Links'!$C$119:$G$119</definedName>
    <definedName name="GetCFData4PA.cfm?BU_0_AcctCode_0_114" localSheetId="3">'Web Links'!$C$120:$G$120</definedName>
    <definedName name="GetCFData4PA.cfm?BU_0_AcctCode_0_115" localSheetId="3">'Web Links'!$C$121:$G$121</definedName>
    <definedName name="GetCFData4PA.cfm?BU_0_AcctCode_0_116" localSheetId="3">'Web Links'!$C$122:$G$122</definedName>
    <definedName name="GetCFData4PA.cfm?BU_0_AcctCode_0_117" localSheetId="3">'Web Links'!$C$123:$G$123</definedName>
    <definedName name="GetCFData4PA.cfm?BU_0_AcctCode_0_118" localSheetId="3">'Web Links'!$C$124:$G$124</definedName>
    <definedName name="GetCFData4PA.cfm?BU_0_AcctCode_0_119" localSheetId="3">'Web Links'!$C$125:$G$125</definedName>
    <definedName name="GetCFData4PA.cfm?BU_0_AcctCode_0_12" localSheetId="3">'Web Links'!$C$18:$G$18</definedName>
    <definedName name="GetCFData4PA.cfm?BU_0_AcctCode_0_120" localSheetId="3">'Web Links'!$C$126:$G$126</definedName>
    <definedName name="GetCFData4PA.cfm?BU_0_AcctCode_0_121" localSheetId="3">'Web Links'!$C$127:$G$127</definedName>
    <definedName name="GetCFData4PA.cfm?BU_0_AcctCode_0_122" localSheetId="3">'Web Links'!$C$128:$G$128</definedName>
    <definedName name="GetCFData4PA.cfm?BU_0_AcctCode_0_123" localSheetId="3">'Web Links'!$C$129:$G$129</definedName>
    <definedName name="GetCFData4PA.cfm?BU_0_AcctCode_0_124" localSheetId="3">'Web Links'!$C$130:$G$130</definedName>
    <definedName name="GetCFData4PA.cfm?BU_0_AcctCode_0_125" localSheetId="3">'Web Links'!$C$131:$G$131</definedName>
    <definedName name="GetCFData4PA.cfm?BU_0_AcctCode_0_126" localSheetId="3">'Web Links'!$C$132:$G$132</definedName>
    <definedName name="GetCFData4PA.cfm?BU_0_AcctCode_0_127" localSheetId="3">'Web Links'!$C$133:$G$133</definedName>
    <definedName name="GetCFData4PA.cfm?BU_0_AcctCode_0_128" localSheetId="3">'Web Links'!$C$134:$G$134</definedName>
    <definedName name="GetCFData4PA.cfm?BU_0_AcctCode_0_129" localSheetId="3">'Web Links'!$C$135:$G$135</definedName>
    <definedName name="GetCFData4PA.cfm?BU_0_AcctCode_0_13" localSheetId="3">'Web Links'!$C$19:$G$19</definedName>
    <definedName name="GetCFData4PA.cfm?BU_0_AcctCode_0_130" localSheetId="3">'Web Links'!$C$136:$G$136</definedName>
    <definedName name="GetCFData4PA.cfm?BU_0_AcctCode_0_131" localSheetId="3">'Web Links'!$C$137:$G$137</definedName>
    <definedName name="GetCFData4PA.cfm?BU_0_AcctCode_0_132" localSheetId="3">'Web Links'!$C$138:$G$138</definedName>
    <definedName name="GetCFData4PA.cfm?BU_0_AcctCode_0_133" localSheetId="3">'Web Links'!$C$139:$G$139</definedName>
    <definedName name="GetCFData4PA.cfm?BU_0_AcctCode_0_134" localSheetId="3">'Web Links'!$C$140:$G$140</definedName>
    <definedName name="GetCFData4PA.cfm?BU_0_AcctCode_0_135" localSheetId="3">'Web Links'!$C$141:$G$141</definedName>
    <definedName name="GetCFData4PA.cfm?BU_0_AcctCode_0_136" localSheetId="3">'Web Links'!$C$142:$G$142</definedName>
    <definedName name="GetCFData4PA.cfm?BU_0_AcctCode_0_137" localSheetId="3">'Web Links'!$C$143:$G$143</definedName>
    <definedName name="GetCFData4PA.cfm?BU_0_AcctCode_0_138" localSheetId="3">'Web Links'!$C$144:$G$144</definedName>
    <definedName name="GetCFData4PA.cfm?BU_0_AcctCode_0_139" localSheetId="3">'Web Links'!$C$145:$G$145</definedName>
    <definedName name="GetCFData4PA.cfm?BU_0_AcctCode_0_14" localSheetId="3">'Web Links'!$C$20:$G$20</definedName>
    <definedName name="GetCFData4PA.cfm?BU_0_AcctCode_0_140" localSheetId="3">'Web Links'!$C$146:$G$146</definedName>
    <definedName name="GetCFData4PA.cfm?BU_0_AcctCode_0_141" localSheetId="3">'Web Links'!$C$147:$G$147</definedName>
    <definedName name="GetCFData4PA.cfm?BU_0_AcctCode_0_142" localSheetId="3">'Web Links'!$C$148:$G$148</definedName>
    <definedName name="GetCFData4PA.cfm?BU_0_AcctCode_0_143" localSheetId="3">'Web Links'!$C$149:$G$149</definedName>
    <definedName name="GetCFData4PA.cfm?BU_0_AcctCode_0_144" localSheetId="3">'Web Links'!$C$150:$G$150</definedName>
    <definedName name="GetCFData4PA.cfm?BU_0_AcctCode_0_145" localSheetId="3">'Web Links'!$C$151:$G$151</definedName>
    <definedName name="GetCFData4PA.cfm?BU_0_AcctCode_0_146" localSheetId="3">'Web Links'!$C$152:$G$152</definedName>
    <definedName name="GetCFData4PA.cfm?BU_0_AcctCode_0_147" localSheetId="3">'Web Links'!$C$153:$G$153</definedName>
    <definedName name="GetCFData4PA.cfm?BU_0_AcctCode_0_148" localSheetId="3">'Web Links'!$C$154:$G$154</definedName>
    <definedName name="GetCFData4PA.cfm?BU_0_AcctCode_0_149" localSheetId="3">'Web Links'!$C$155:$G$155</definedName>
    <definedName name="GetCFData4PA.cfm?BU_0_AcctCode_0_15" localSheetId="3">'Web Links'!$C$21:$G$21</definedName>
    <definedName name="GetCFData4PA.cfm?BU_0_AcctCode_0_150" localSheetId="3">'Web Links'!$C$156:$G$156</definedName>
    <definedName name="GetCFData4PA.cfm?BU_0_AcctCode_0_151" localSheetId="3">'Web Links'!$C$157:$G$157</definedName>
    <definedName name="GetCFData4PA.cfm?BU_0_AcctCode_0_152" localSheetId="3">'Web Links'!$C$158:$G$158</definedName>
    <definedName name="GetCFData4PA.cfm?BU_0_AcctCode_0_153" localSheetId="3">'Web Links'!$C$159:$G$159</definedName>
    <definedName name="GetCFData4PA.cfm?BU_0_AcctCode_0_154" localSheetId="3">'Web Links'!$C$160:$G$160</definedName>
    <definedName name="GetCFData4PA.cfm?BU_0_AcctCode_0_155" localSheetId="3">'Web Links'!$C$161:$G$161</definedName>
    <definedName name="GetCFData4PA.cfm?BU_0_AcctCode_0_156" localSheetId="3">'Web Links'!$C$162:$G$162</definedName>
    <definedName name="GetCFData4PA.cfm?BU_0_AcctCode_0_157" localSheetId="3">'Web Links'!$C$163:$G$163</definedName>
    <definedName name="GetCFData4PA.cfm?BU_0_AcctCode_0_158" localSheetId="3">'Web Links'!$C$164:$G$164</definedName>
    <definedName name="GetCFData4PA.cfm?BU_0_AcctCode_0_159" localSheetId="3">'Web Links'!$C$165:$G$165</definedName>
    <definedName name="GetCFData4PA.cfm?BU_0_AcctCode_0_16" localSheetId="3">'Web Links'!$C$22:$G$22</definedName>
    <definedName name="GetCFData4PA.cfm?BU_0_AcctCode_0_160" localSheetId="3">'Web Links'!$C$166:$G$166</definedName>
    <definedName name="GetCFData4PA.cfm?BU_0_AcctCode_0_161" localSheetId="3">'Web Links'!$C$167:$G$167</definedName>
    <definedName name="GetCFData4PA.cfm?BU_0_AcctCode_0_162" localSheetId="3">'Web Links'!$C$168:$G$168</definedName>
    <definedName name="GetCFData4PA.cfm?BU_0_AcctCode_0_163" localSheetId="3">'Web Links'!$C$169:$G$169</definedName>
    <definedName name="GetCFData4PA.cfm?BU_0_AcctCode_0_164" localSheetId="3">'Web Links'!$C$170:$G$170</definedName>
    <definedName name="GetCFData4PA.cfm?BU_0_AcctCode_0_165" localSheetId="3">'Web Links'!$C$171:$G$171</definedName>
    <definedName name="GetCFData4PA.cfm?BU_0_AcctCode_0_166" localSheetId="3">'Web Links'!$C$172:$G$172</definedName>
    <definedName name="GetCFData4PA.cfm?BU_0_AcctCode_0_167" localSheetId="3">'Web Links'!$C$173:$G$173</definedName>
    <definedName name="GetCFData4PA.cfm?BU_0_AcctCode_0_168" localSheetId="3">'Web Links'!$C$174:$G$174</definedName>
    <definedName name="GetCFData4PA.cfm?BU_0_AcctCode_0_169" localSheetId="3">'Web Links'!$C$175:$G$175</definedName>
    <definedName name="GetCFData4PA.cfm?BU_0_AcctCode_0_17" localSheetId="3">'Web Links'!$C$23:$G$23</definedName>
    <definedName name="GetCFData4PA.cfm?BU_0_AcctCode_0_170" localSheetId="3">'Web Links'!$C$176:$G$176</definedName>
    <definedName name="GetCFData4PA.cfm?BU_0_AcctCode_0_171" localSheetId="3">'Web Links'!$C$177:$G$177</definedName>
    <definedName name="GetCFData4PA.cfm?BU_0_AcctCode_0_172" localSheetId="3">'Web Links'!$C$178:$G$178</definedName>
    <definedName name="GetCFData4PA.cfm?BU_0_AcctCode_0_173" localSheetId="3">'Web Links'!$C$179:$G$179</definedName>
    <definedName name="GetCFData4PA.cfm?BU_0_AcctCode_0_174" localSheetId="3">'Web Links'!$C$180:$G$180</definedName>
    <definedName name="GetCFData4PA.cfm?BU_0_AcctCode_0_175" localSheetId="3">'Web Links'!$C$181:$G$181</definedName>
    <definedName name="GetCFData4PA.cfm?BU_0_AcctCode_0_176" localSheetId="3">'Web Links'!$C$182:$G$182</definedName>
    <definedName name="GetCFData4PA.cfm?BU_0_AcctCode_0_177" localSheetId="3">'Web Links'!$C$183:$G$183</definedName>
    <definedName name="GetCFData4PA.cfm?BU_0_AcctCode_0_178" localSheetId="3">'Web Links'!$C$184:$G$184</definedName>
    <definedName name="GetCFData4PA.cfm?BU_0_AcctCode_0_179" localSheetId="3">'Web Links'!$C$185:$G$185</definedName>
    <definedName name="GetCFData4PA.cfm?BU_0_AcctCode_0_18" localSheetId="3">'Web Links'!$C$24:$G$24</definedName>
    <definedName name="GetCFData4PA.cfm?BU_0_AcctCode_0_180" localSheetId="3">'Web Links'!$C$186:$G$186</definedName>
    <definedName name="GetCFData4PA.cfm?BU_0_AcctCode_0_181" localSheetId="3">'Web Links'!$C$187:$G$187</definedName>
    <definedName name="GetCFData4PA.cfm?BU_0_AcctCode_0_182" localSheetId="3">'Web Links'!$C$188:$G$188</definedName>
    <definedName name="GetCFData4PA.cfm?BU_0_AcctCode_0_183" localSheetId="3">'Web Links'!$C$189:$G$189</definedName>
    <definedName name="GetCFData4PA.cfm?BU_0_AcctCode_0_184" localSheetId="3">'Web Links'!$C$190:$G$190</definedName>
    <definedName name="GetCFData4PA.cfm?BU_0_AcctCode_0_185" localSheetId="3">'Web Links'!$C$191:$G$191</definedName>
    <definedName name="GetCFData4PA.cfm?BU_0_AcctCode_0_186" localSheetId="3">'Web Links'!$C$192:$G$192</definedName>
    <definedName name="GetCFData4PA.cfm?BU_0_AcctCode_0_187" localSheetId="3">'Web Links'!$C$193:$G$193</definedName>
    <definedName name="GetCFData4PA.cfm?BU_0_AcctCode_0_188" localSheetId="3">'Web Links'!$C$194:$G$194</definedName>
    <definedName name="GetCFData4PA.cfm?BU_0_AcctCode_0_189" localSheetId="3">'Web Links'!$C$195:$G$195</definedName>
    <definedName name="GetCFData4PA.cfm?BU_0_AcctCode_0_19" localSheetId="3">'Web Links'!$C$25:$G$25</definedName>
    <definedName name="GetCFData4PA.cfm?BU_0_AcctCode_0_190" localSheetId="3">'Web Links'!$C$196:$G$196</definedName>
    <definedName name="GetCFData4PA.cfm?BU_0_AcctCode_0_191" localSheetId="3">'Web Links'!$C$197:$G$197</definedName>
    <definedName name="GetCFData4PA.cfm?BU_0_AcctCode_0_192" localSheetId="3">'Web Links'!$C$198:$G$198</definedName>
    <definedName name="GetCFData4PA.cfm?BU_0_AcctCode_0_193" localSheetId="3">'Web Links'!$C$199:$G$199</definedName>
    <definedName name="GetCFData4PA.cfm?BU_0_AcctCode_0_194" localSheetId="3">'Web Links'!$C$200:$G$200</definedName>
    <definedName name="GetCFData4PA.cfm?BU_0_AcctCode_0_195" localSheetId="3">'Web Links'!$C$201:$G$201</definedName>
    <definedName name="GetCFData4PA.cfm?BU_0_AcctCode_0_196" localSheetId="3">'Web Links'!$C$202:$G$202</definedName>
    <definedName name="GetCFData4PA.cfm?BU_0_AcctCode_0_197" localSheetId="3">'Web Links'!$C$203:$G$203</definedName>
    <definedName name="GetCFData4PA.cfm?BU_0_AcctCode_0_198" localSheetId="3">'Web Links'!$C$204:$G$204</definedName>
    <definedName name="GetCFData4PA.cfm?BU_0_AcctCode_0_199" localSheetId="3">'Web Links'!$C$205:$G$205</definedName>
    <definedName name="GetCFData4PA.cfm?BU_0_AcctCode_0_2" localSheetId="3">'Web Links'!$C$9:$G$9</definedName>
    <definedName name="GetCFData4PA.cfm?BU_0_AcctCode_0_20" localSheetId="3">'Web Links'!$C$26:$G$26</definedName>
    <definedName name="GetCFData4PA.cfm?BU_0_AcctCode_0_200" localSheetId="3">'Web Links'!$C$206:$G$206</definedName>
    <definedName name="GetCFData4PA.cfm?BU_0_AcctCode_0_201" localSheetId="3">'Web Links'!$C$207:$G$207</definedName>
    <definedName name="GetCFData4PA.cfm?BU_0_AcctCode_0_202" localSheetId="3">'Web Links'!$C$208:$G$208</definedName>
    <definedName name="GetCFData4PA.cfm?BU_0_AcctCode_0_203" localSheetId="3">'Web Links'!$C$209:$G$209</definedName>
    <definedName name="GetCFData4PA.cfm?BU_0_AcctCode_0_204" localSheetId="3">'Web Links'!$C$210:$G$210</definedName>
    <definedName name="GetCFData4PA.cfm?BU_0_AcctCode_0_205" localSheetId="3">'Web Links'!$C$211:$G$211</definedName>
    <definedName name="GetCFData4PA.cfm?BU_0_AcctCode_0_206" localSheetId="3">'Web Links'!$C$212:$G$212</definedName>
    <definedName name="GetCFData4PA.cfm?BU_0_AcctCode_0_207" localSheetId="3">'Web Links'!$C$213:$G$213</definedName>
    <definedName name="GetCFData4PA.cfm?BU_0_AcctCode_0_208" localSheetId="3">'Web Links'!$C$214:$G$214</definedName>
    <definedName name="GetCFData4PA.cfm?BU_0_AcctCode_0_209" localSheetId="3">'Web Links'!$C$215:$G$215</definedName>
    <definedName name="GetCFData4PA.cfm?BU_0_AcctCode_0_21" localSheetId="3">'Web Links'!$C$27:$G$27</definedName>
    <definedName name="GetCFData4PA.cfm?BU_0_AcctCode_0_210" localSheetId="3">'Web Links'!$C$216:$G$216</definedName>
    <definedName name="GetCFData4PA.cfm?BU_0_AcctCode_0_211" localSheetId="3">'Web Links'!$C$217:$G$217</definedName>
    <definedName name="GetCFData4PA.cfm?BU_0_AcctCode_0_212" localSheetId="3">'Web Links'!$C$218:$G$218</definedName>
    <definedName name="GetCFData4PA.cfm?BU_0_AcctCode_0_213" localSheetId="3">'Web Links'!$C$219:$G$219</definedName>
    <definedName name="GetCFData4PA.cfm?BU_0_AcctCode_0_214" localSheetId="3">'Web Links'!$C$220:$G$220</definedName>
    <definedName name="GetCFData4PA.cfm?BU_0_AcctCode_0_215" localSheetId="3">'Web Links'!$C$221:$G$221</definedName>
    <definedName name="GetCFData4PA.cfm?BU_0_AcctCode_0_216" localSheetId="3">'Web Links'!$C$222:$G$222</definedName>
    <definedName name="GetCFData4PA.cfm?BU_0_AcctCode_0_217" localSheetId="3">'Web Links'!$C$223:$G$223</definedName>
    <definedName name="GetCFData4PA.cfm?BU_0_AcctCode_0_218" localSheetId="3">'Web Links'!$C$224:$G$224</definedName>
    <definedName name="GetCFData4PA.cfm?BU_0_AcctCode_0_219" localSheetId="3">'Web Links'!$C$225:$G$225</definedName>
    <definedName name="GetCFData4PA.cfm?BU_0_AcctCode_0_22" localSheetId="3">'Web Links'!$C$28:$G$28</definedName>
    <definedName name="GetCFData4PA.cfm?BU_0_AcctCode_0_220" localSheetId="3">'Web Links'!$C$226:$G$226</definedName>
    <definedName name="GetCFData4PA.cfm?BU_0_AcctCode_0_221" localSheetId="3">'Web Links'!$C$227:$G$227</definedName>
    <definedName name="GetCFData4PA.cfm?BU_0_AcctCode_0_222" localSheetId="3">'Web Links'!$C$228:$G$228</definedName>
    <definedName name="GetCFData4PA.cfm?BU_0_AcctCode_0_223" localSheetId="3">'Web Links'!$C$229:$G$229</definedName>
    <definedName name="GetCFData4PA.cfm?BU_0_AcctCode_0_224" localSheetId="3">'Web Links'!$C$230:$G$230</definedName>
    <definedName name="GetCFData4PA.cfm?BU_0_AcctCode_0_225" localSheetId="3">'Web Links'!$C$231:$G$231</definedName>
    <definedName name="GetCFData4PA.cfm?BU_0_AcctCode_0_226" localSheetId="3">'Web Links'!$C$232:$G$232</definedName>
    <definedName name="GetCFData4PA.cfm?BU_0_AcctCode_0_227" localSheetId="3">'Web Links'!$C$233:$G$233</definedName>
    <definedName name="GetCFData4PA.cfm?BU_0_AcctCode_0_228" localSheetId="3">'Web Links'!$C$234:$G$234</definedName>
    <definedName name="GetCFData4PA.cfm?BU_0_AcctCode_0_229" localSheetId="3">'Web Links'!$C$235:$G$235</definedName>
    <definedName name="GetCFData4PA.cfm?BU_0_AcctCode_0_23" localSheetId="3">'Web Links'!$C$29:$G$29</definedName>
    <definedName name="GetCFData4PA.cfm?BU_0_AcctCode_0_230" localSheetId="3">'Web Links'!$C$236:$G$236</definedName>
    <definedName name="GetCFData4PA.cfm?BU_0_AcctCode_0_231" localSheetId="3">'Web Links'!$C$237:$G$237</definedName>
    <definedName name="GetCFData4PA.cfm?BU_0_AcctCode_0_232" localSheetId="3">'Web Links'!$C$238:$G$238</definedName>
    <definedName name="GetCFData4PA.cfm?BU_0_AcctCode_0_233" localSheetId="3">'Web Links'!$C$239:$G$239</definedName>
    <definedName name="GetCFData4PA.cfm?BU_0_AcctCode_0_234" localSheetId="3">'Web Links'!$C$240:$G$240</definedName>
    <definedName name="GetCFData4PA.cfm?BU_0_AcctCode_0_235" localSheetId="3">'Web Links'!$C$241:$G$241</definedName>
    <definedName name="GetCFData4PA.cfm?BU_0_AcctCode_0_236" localSheetId="3">'Web Links'!$C$242:$G$242</definedName>
    <definedName name="GetCFData4PA.cfm?BU_0_AcctCode_0_237" localSheetId="3">'Web Links'!$C$243:$G$243</definedName>
    <definedName name="GetCFData4PA.cfm?BU_0_AcctCode_0_238" localSheetId="3">'Web Links'!$C$244:$G$244</definedName>
    <definedName name="GetCFData4PA.cfm?BU_0_AcctCode_0_239" localSheetId="3">'Web Links'!$C$245:$G$245</definedName>
    <definedName name="GetCFData4PA.cfm?BU_0_AcctCode_0_24" localSheetId="3">'Web Links'!$C$30:$G$30</definedName>
    <definedName name="GetCFData4PA.cfm?BU_0_AcctCode_0_240" localSheetId="3">'Web Links'!$C$246:$G$246</definedName>
    <definedName name="GetCFData4PA.cfm?BU_0_AcctCode_0_241" localSheetId="3">'Web Links'!$C$247:$G$247</definedName>
    <definedName name="GetCFData4PA.cfm?BU_0_AcctCode_0_242" localSheetId="3">'Web Links'!$C$248:$G$248</definedName>
    <definedName name="GetCFData4PA.cfm?BU_0_AcctCode_0_243" localSheetId="3">'Web Links'!$C$249:$G$249</definedName>
    <definedName name="GetCFData4PA.cfm?BU_0_AcctCode_0_244" localSheetId="3">'Web Links'!$C$250:$G$250</definedName>
    <definedName name="GetCFData4PA.cfm?BU_0_AcctCode_0_245" localSheetId="3">'Web Links'!$C$251:$G$251</definedName>
    <definedName name="GetCFData4PA.cfm?BU_0_AcctCode_0_246" localSheetId="3">'Web Links'!$C$252:$G$252</definedName>
    <definedName name="GetCFData4PA.cfm?BU_0_AcctCode_0_247" localSheetId="3">'Web Links'!$C$253:$G$253</definedName>
    <definedName name="GetCFData4PA.cfm?BU_0_AcctCode_0_248" localSheetId="3">'Web Links'!$C$254:$G$254</definedName>
    <definedName name="GetCFData4PA.cfm?BU_0_AcctCode_0_249" localSheetId="3">'Web Links'!$C$255:$G$255</definedName>
    <definedName name="GetCFData4PA.cfm?BU_0_AcctCode_0_25" localSheetId="3">'Web Links'!$C$31:$G$31</definedName>
    <definedName name="GetCFData4PA.cfm?BU_0_AcctCode_0_250" localSheetId="3">'Web Links'!$C$256:$G$256</definedName>
    <definedName name="GetCFData4PA.cfm?BU_0_AcctCode_0_251" localSheetId="3">'Web Links'!$C$257:$G$257</definedName>
    <definedName name="GetCFData4PA.cfm?BU_0_AcctCode_0_252" localSheetId="3">'Web Links'!$C$258:$G$258</definedName>
    <definedName name="GetCFData4PA.cfm?BU_0_AcctCode_0_253" localSheetId="3">'Web Links'!$C$259:$G$259</definedName>
    <definedName name="GetCFData4PA.cfm?BU_0_AcctCode_0_254" localSheetId="3">'Web Links'!$C$260:$G$260</definedName>
    <definedName name="GetCFData4PA.cfm?BU_0_AcctCode_0_255" localSheetId="3">'Web Links'!$C$261:$G$261</definedName>
    <definedName name="GetCFData4PA.cfm?BU_0_AcctCode_0_256" localSheetId="3">'Web Links'!$C$262:$G$262</definedName>
    <definedName name="GetCFData4PA.cfm?BU_0_AcctCode_0_257" localSheetId="3">'Web Links'!$C$263:$G$263</definedName>
    <definedName name="GetCFData4PA.cfm?BU_0_AcctCode_0_258" localSheetId="3">'Web Links'!$C$264:$G$264</definedName>
    <definedName name="GetCFData4PA.cfm?BU_0_AcctCode_0_259" localSheetId="3">'Web Links'!$C$265:$G$265</definedName>
    <definedName name="GetCFData4PA.cfm?BU_0_AcctCode_0_26" localSheetId="3">'Web Links'!$C$32:$G$32</definedName>
    <definedName name="GetCFData4PA.cfm?BU_0_AcctCode_0_260" localSheetId="3">'Web Links'!$C$266:$G$266</definedName>
    <definedName name="GetCFData4PA.cfm?BU_0_AcctCode_0_261" localSheetId="3">'Web Links'!$C$267:$G$267</definedName>
    <definedName name="GetCFData4PA.cfm?BU_0_AcctCode_0_262" localSheetId="3">'Web Links'!$C$268:$G$268</definedName>
    <definedName name="GetCFData4PA.cfm?BU_0_AcctCode_0_263" localSheetId="3">'Web Links'!$C$269:$G$269</definedName>
    <definedName name="GetCFData4PA.cfm?BU_0_AcctCode_0_264" localSheetId="3">'Web Links'!$C$270:$G$270</definedName>
    <definedName name="GetCFData4PA.cfm?BU_0_AcctCode_0_265" localSheetId="3">'Web Links'!$C$271:$G$271</definedName>
    <definedName name="GetCFData4PA.cfm?BU_0_AcctCode_0_266" localSheetId="3">'Web Links'!$C$272:$G$272</definedName>
    <definedName name="GetCFData4PA.cfm?BU_0_AcctCode_0_267" localSheetId="3">'Web Links'!$C$273:$G$273</definedName>
    <definedName name="GetCFData4PA.cfm?BU_0_AcctCode_0_268" localSheetId="3">'Web Links'!$C$274:$G$274</definedName>
    <definedName name="GetCFData4PA.cfm?BU_0_AcctCode_0_269" localSheetId="3">'Web Links'!$C$275:$G$275</definedName>
    <definedName name="GetCFData4PA.cfm?BU_0_AcctCode_0_27" localSheetId="3">'Web Links'!$C$33:$G$33</definedName>
    <definedName name="GetCFData4PA.cfm?BU_0_AcctCode_0_270" localSheetId="3">'Web Links'!$C$276:$G$276</definedName>
    <definedName name="GetCFData4PA.cfm?BU_0_AcctCode_0_271" localSheetId="3">'Web Links'!$C$277:$G$277</definedName>
    <definedName name="GetCFData4PA.cfm?BU_0_AcctCode_0_272" localSheetId="3">'Web Links'!$C$278:$G$278</definedName>
    <definedName name="GetCFData4PA.cfm?BU_0_AcctCode_0_273" localSheetId="3">'Web Links'!$C$279:$G$279</definedName>
    <definedName name="GetCFData4PA.cfm?BU_0_AcctCode_0_274" localSheetId="3">'Web Links'!$C$280:$G$280</definedName>
    <definedName name="GetCFData4PA.cfm?BU_0_AcctCode_0_275" localSheetId="3">'Web Links'!$C$281:$G$281</definedName>
    <definedName name="GetCFData4PA.cfm?BU_0_AcctCode_0_276" localSheetId="3">'Web Links'!$C$282:$G$282</definedName>
    <definedName name="GetCFData4PA.cfm?BU_0_AcctCode_0_277" localSheetId="3">'Web Links'!$C$283:$G$283</definedName>
    <definedName name="GetCFData4PA.cfm?BU_0_AcctCode_0_278" localSheetId="3">'Web Links'!$C$284:$G$284</definedName>
    <definedName name="GetCFData4PA.cfm?BU_0_AcctCode_0_279" localSheetId="3">'Web Links'!$C$285:$G$285</definedName>
    <definedName name="GetCFData4PA.cfm?BU_0_AcctCode_0_28" localSheetId="3">'Web Links'!$C$34:$G$34</definedName>
    <definedName name="GetCFData4PA.cfm?BU_0_AcctCode_0_280" localSheetId="3">'Web Links'!$C$286:$G$286</definedName>
    <definedName name="GetCFData4PA.cfm?BU_0_AcctCode_0_281" localSheetId="3">'Web Links'!$C$287:$G$287</definedName>
    <definedName name="GetCFData4PA.cfm?BU_0_AcctCode_0_282" localSheetId="3">'Web Links'!$C$288:$G$288</definedName>
    <definedName name="GetCFData4PA.cfm?BU_0_AcctCode_0_283" localSheetId="3">'Web Links'!$C$289:$G$289</definedName>
    <definedName name="GetCFData4PA.cfm?BU_0_AcctCode_0_284" localSheetId="3">'Web Links'!$C$290:$G$290</definedName>
    <definedName name="GetCFData4PA.cfm?BU_0_AcctCode_0_285" localSheetId="3">'Web Links'!$C$291:$G$291</definedName>
    <definedName name="GetCFData4PA.cfm?BU_0_AcctCode_0_286" localSheetId="3">'Web Links'!$C$292:$G$292</definedName>
    <definedName name="GetCFData4PA.cfm?BU_0_AcctCode_0_287" localSheetId="3">'Web Links'!$C$293:$G$293</definedName>
    <definedName name="GetCFData4PA.cfm?BU_0_AcctCode_0_288" localSheetId="3">'Web Links'!$C$294:$G$294</definedName>
    <definedName name="GetCFData4PA.cfm?BU_0_AcctCode_0_289" localSheetId="3">'Web Links'!$C$295:$G$295</definedName>
    <definedName name="GetCFData4PA.cfm?BU_0_AcctCode_0_29" localSheetId="3">'Web Links'!$C$35:$G$35</definedName>
    <definedName name="GetCFData4PA.cfm?BU_0_AcctCode_0_290" localSheetId="3">'Web Links'!$C$296:$G$296</definedName>
    <definedName name="GetCFData4PA.cfm?BU_0_AcctCode_0_291" localSheetId="3">'Web Links'!$C$297:$G$297</definedName>
    <definedName name="GetCFData4PA.cfm?BU_0_AcctCode_0_292" localSheetId="3">'Web Links'!$C$298:$G$298</definedName>
    <definedName name="GetCFData4PA.cfm?BU_0_AcctCode_0_293" localSheetId="3">'Web Links'!$C$299:$G$299</definedName>
    <definedName name="GetCFData4PA.cfm?BU_0_AcctCode_0_294" localSheetId="3">'Web Links'!$C$300:$G$300</definedName>
    <definedName name="GetCFData4PA.cfm?BU_0_AcctCode_0_295" localSheetId="3">'Web Links'!$C$301:$G$301</definedName>
    <definedName name="GetCFData4PA.cfm?BU_0_AcctCode_0_296" localSheetId="3">'Web Links'!$C$302:$G$302</definedName>
    <definedName name="GetCFData4PA.cfm?BU_0_AcctCode_0_297" localSheetId="3">'Web Links'!$C$303:$G$303</definedName>
    <definedName name="GetCFData4PA.cfm?BU_0_AcctCode_0_298" localSheetId="3">'Web Links'!$C$304:$G$304</definedName>
    <definedName name="GetCFData4PA.cfm?BU_0_AcctCode_0_299" localSheetId="3">'Web Links'!$C$305:$G$305</definedName>
    <definedName name="GetCFData4PA.cfm?BU_0_AcctCode_0_3" localSheetId="3">'Web Links'!$C$10:$G$10</definedName>
    <definedName name="GetCFData4PA.cfm?BU_0_AcctCode_0_30" localSheetId="3">'Web Links'!$C$36:$G$36</definedName>
    <definedName name="GetCFData4PA.cfm?BU_0_AcctCode_0_300" localSheetId="3">'Web Links'!$C$306:$G$306</definedName>
    <definedName name="GetCFData4PA.cfm?BU_0_AcctCode_0_301" localSheetId="3">'Web Links'!$C$307:$G$307</definedName>
    <definedName name="GetCFData4PA.cfm?BU_0_AcctCode_0_302" localSheetId="3">'Web Links'!$C$308:$G$308</definedName>
    <definedName name="GetCFData4PA.cfm?BU_0_AcctCode_0_303" localSheetId="3">'Web Links'!$C$309:$G$309</definedName>
    <definedName name="GetCFData4PA.cfm?BU_0_AcctCode_0_304" localSheetId="3">'Web Links'!$C$310:$G$310</definedName>
    <definedName name="GetCFData4PA.cfm?BU_0_AcctCode_0_305" localSheetId="3">'Web Links'!$C$311:$G$311</definedName>
    <definedName name="GetCFData4PA.cfm?BU_0_AcctCode_0_306" localSheetId="3">'Web Links'!$C$312:$G$312</definedName>
    <definedName name="GetCFData4PA.cfm?BU_0_AcctCode_0_307" localSheetId="3">'Web Links'!$C$313:$G$313</definedName>
    <definedName name="GetCFData4PA.cfm?BU_0_AcctCode_0_308" localSheetId="3">'Web Links'!$C$314:$G$314</definedName>
    <definedName name="GetCFData4PA.cfm?BU_0_AcctCode_0_309" localSheetId="3">'Web Links'!$C$315:$G$315</definedName>
    <definedName name="GetCFData4PA.cfm?BU_0_AcctCode_0_31" localSheetId="3">'Web Links'!$C$37:$G$37</definedName>
    <definedName name="GetCFData4PA.cfm?BU_0_AcctCode_0_310" localSheetId="3">'Web Links'!$C$316:$G$316</definedName>
    <definedName name="GetCFData4PA.cfm?BU_0_AcctCode_0_311" localSheetId="3">'Web Links'!$C$317:$G$317</definedName>
    <definedName name="GetCFData4PA.cfm?BU_0_AcctCode_0_312" localSheetId="3">'Web Links'!$C$318:$G$318</definedName>
    <definedName name="GetCFData4PA.cfm?BU_0_AcctCode_0_313" localSheetId="3">'Web Links'!$C$319:$G$319</definedName>
    <definedName name="GetCFData4PA.cfm?BU_0_AcctCode_0_314" localSheetId="3">'Web Links'!$C$320:$G$320</definedName>
    <definedName name="GetCFData4PA.cfm?BU_0_AcctCode_0_315" localSheetId="3">'Web Links'!$C$321:$G$321</definedName>
    <definedName name="GetCFData4PA.cfm?BU_0_AcctCode_0_316" localSheetId="3">'Web Links'!$C$322:$G$322</definedName>
    <definedName name="GetCFData4PA.cfm?BU_0_AcctCode_0_317" localSheetId="3">'Web Links'!$C$323:$G$323</definedName>
    <definedName name="GetCFData4PA.cfm?BU_0_AcctCode_0_318" localSheetId="3">'Web Links'!$C$324:$G$324</definedName>
    <definedName name="GetCFData4PA.cfm?BU_0_AcctCode_0_319" localSheetId="3">'Web Links'!$C$325:$G$325</definedName>
    <definedName name="GetCFData4PA.cfm?BU_0_AcctCode_0_32" localSheetId="3">'Web Links'!$C$38:$G$38</definedName>
    <definedName name="GetCFData4PA.cfm?BU_0_AcctCode_0_320" localSheetId="3">'Web Links'!$C$326:$G$326</definedName>
    <definedName name="GetCFData4PA.cfm?BU_0_AcctCode_0_321" localSheetId="3">'Web Links'!$C$327:$G$327</definedName>
    <definedName name="GetCFData4PA.cfm?BU_0_AcctCode_0_322" localSheetId="3">'Web Links'!$C$328:$G$328</definedName>
    <definedName name="GetCFData4PA.cfm?BU_0_AcctCode_0_323" localSheetId="3">'Web Links'!$C$329:$G$329</definedName>
    <definedName name="GetCFData4PA.cfm?BU_0_AcctCode_0_324" localSheetId="3">'Web Links'!$C$330:$G$330</definedName>
    <definedName name="GetCFData4PA.cfm?BU_0_AcctCode_0_325" localSheetId="3">'Web Links'!$C$331:$G$331</definedName>
    <definedName name="GetCFData4PA.cfm?BU_0_AcctCode_0_326" localSheetId="3">'Web Links'!$C$332:$G$332</definedName>
    <definedName name="GetCFData4PA.cfm?BU_0_AcctCode_0_327" localSheetId="3">'Web Links'!$C$333:$G$333</definedName>
    <definedName name="GetCFData4PA.cfm?BU_0_AcctCode_0_328" localSheetId="3">'Web Links'!$C$334:$G$334</definedName>
    <definedName name="GetCFData4PA.cfm?BU_0_AcctCode_0_329" localSheetId="3">'Web Links'!$C$335:$G$335</definedName>
    <definedName name="GetCFData4PA.cfm?BU_0_AcctCode_0_33" localSheetId="3">'Web Links'!$C$39:$G$39</definedName>
    <definedName name="GetCFData4PA.cfm?BU_0_AcctCode_0_330" localSheetId="3">'Web Links'!$C$336:$G$336</definedName>
    <definedName name="GetCFData4PA.cfm?BU_0_AcctCode_0_331" localSheetId="3">'Web Links'!$C$337:$G$337</definedName>
    <definedName name="GetCFData4PA.cfm?BU_0_AcctCode_0_332" localSheetId="3">'Web Links'!$C$338:$G$338</definedName>
    <definedName name="GetCFData4PA.cfm?BU_0_AcctCode_0_333" localSheetId="3">'Web Links'!$C$339:$G$339</definedName>
    <definedName name="GetCFData4PA.cfm?BU_0_AcctCode_0_334" localSheetId="3">'Web Links'!$C$340:$G$340</definedName>
    <definedName name="GetCFData4PA.cfm?BU_0_AcctCode_0_335" localSheetId="3">'Web Links'!$C$341:$G$341</definedName>
    <definedName name="GetCFData4PA.cfm?BU_0_AcctCode_0_336" localSheetId="3">'Web Links'!$C$342:$G$342</definedName>
    <definedName name="GetCFData4PA.cfm?BU_0_AcctCode_0_337" localSheetId="3">'Web Links'!$C$343:$G$343</definedName>
    <definedName name="GetCFData4PA.cfm?BU_0_AcctCode_0_338" localSheetId="3">'Web Links'!$C$344:$G$344</definedName>
    <definedName name="GetCFData4PA.cfm?BU_0_AcctCode_0_339" localSheetId="3">'Web Links'!$C$345:$G$345</definedName>
    <definedName name="GetCFData4PA.cfm?BU_0_AcctCode_0_34" localSheetId="3">'Web Links'!$C$40:$G$40</definedName>
    <definedName name="GetCFData4PA.cfm?BU_0_AcctCode_0_340" localSheetId="3">'Web Links'!$C$346:$G$346</definedName>
    <definedName name="GetCFData4PA.cfm?BU_0_AcctCode_0_341" localSheetId="3">'Web Links'!$C$347:$G$347</definedName>
    <definedName name="GetCFData4PA.cfm?BU_0_AcctCode_0_342" localSheetId="3">'Web Links'!$C$348:$G$348</definedName>
    <definedName name="GetCFData4PA.cfm?BU_0_AcctCode_0_343" localSheetId="3">'Web Links'!$C$349:$G$349</definedName>
    <definedName name="GetCFData4PA.cfm?BU_0_AcctCode_0_344" localSheetId="3">'Web Links'!$C$350:$G$350</definedName>
    <definedName name="GetCFData4PA.cfm?BU_0_AcctCode_0_345" localSheetId="3">'Web Links'!$C$351:$G$351</definedName>
    <definedName name="GetCFData4PA.cfm?BU_0_AcctCode_0_346" localSheetId="3">'Web Links'!$C$352:$G$352</definedName>
    <definedName name="GetCFData4PA.cfm?BU_0_AcctCode_0_347" localSheetId="3">'Web Links'!$C$353:$G$353</definedName>
    <definedName name="GetCFData4PA.cfm?BU_0_AcctCode_0_348" localSheetId="3">'Web Links'!$C$354:$G$354</definedName>
    <definedName name="GetCFData4PA.cfm?BU_0_AcctCode_0_349" localSheetId="3">'Web Links'!$C$355:$G$355</definedName>
    <definedName name="GetCFData4PA.cfm?BU_0_AcctCode_0_35" localSheetId="3">'Web Links'!$C$41:$G$41</definedName>
    <definedName name="GetCFData4PA.cfm?BU_0_AcctCode_0_350" localSheetId="3">'Web Links'!$C$356:$G$356</definedName>
    <definedName name="GetCFData4PA.cfm?BU_0_AcctCode_0_351" localSheetId="3">'Web Links'!$C$357:$G$357</definedName>
    <definedName name="GetCFData4PA.cfm?BU_0_AcctCode_0_352" localSheetId="3">'Web Links'!$C$358:$G$358</definedName>
    <definedName name="GetCFData4PA.cfm?BU_0_AcctCode_0_353" localSheetId="3">'Web Links'!$C$359:$G$359</definedName>
    <definedName name="GetCFData4PA.cfm?BU_0_AcctCode_0_354" localSheetId="3">'Web Links'!$C$360:$G$360</definedName>
    <definedName name="GetCFData4PA.cfm?BU_0_AcctCode_0_355" localSheetId="3">'Web Links'!$C$361:$G$361</definedName>
    <definedName name="GetCFData4PA.cfm?BU_0_AcctCode_0_356" localSheetId="3">'Web Links'!$C$362:$G$362</definedName>
    <definedName name="GetCFData4PA.cfm?BU_0_AcctCode_0_357" localSheetId="3">'Web Links'!$C$363:$G$363</definedName>
    <definedName name="GetCFData4PA.cfm?BU_0_AcctCode_0_358" localSheetId="3">'Web Links'!$C$364:$G$364</definedName>
    <definedName name="GetCFData4PA.cfm?BU_0_AcctCode_0_359" localSheetId="3">'Web Links'!$C$365:$G$365</definedName>
    <definedName name="GetCFData4PA.cfm?BU_0_AcctCode_0_36" localSheetId="3">'Web Links'!$C$42:$G$42</definedName>
    <definedName name="GetCFData4PA.cfm?BU_0_AcctCode_0_360" localSheetId="3">'Web Links'!$C$366:$G$366</definedName>
    <definedName name="GetCFData4PA.cfm?BU_0_AcctCode_0_361" localSheetId="3">'Web Links'!$C$367:$G$367</definedName>
    <definedName name="GetCFData4PA.cfm?BU_0_AcctCode_0_362" localSheetId="3">'Web Links'!$C$368:$G$368</definedName>
    <definedName name="GetCFData4PA.cfm?BU_0_AcctCode_0_363" localSheetId="3">'Web Links'!$C$369:$G$369</definedName>
    <definedName name="GetCFData4PA.cfm?BU_0_AcctCode_0_364" localSheetId="3">'Web Links'!$C$370:$G$370</definedName>
    <definedName name="GetCFData4PA.cfm?BU_0_AcctCode_0_365" localSheetId="3">'Web Links'!$C$371:$G$371</definedName>
    <definedName name="GetCFData4PA.cfm?BU_0_AcctCode_0_366" localSheetId="3">'Web Links'!$C$372:$G$372</definedName>
    <definedName name="GetCFData4PA.cfm?BU_0_AcctCode_0_367" localSheetId="3">'Web Links'!$C$373:$G$373</definedName>
    <definedName name="GetCFData4PA.cfm?BU_0_AcctCode_0_368" localSheetId="3">'Web Links'!$C$374:$G$374</definedName>
    <definedName name="GetCFData4PA.cfm?BU_0_AcctCode_0_369" localSheetId="3">'Web Links'!$C$375:$G$375</definedName>
    <definedName name="GetCFData4PA.cfm?BU_0_AcctCode_0_37" localSheetId="3">'Web Links'!$C$43:$G$43</definedName>
    <definedName name="GetCFData4PA.cfm?BU_0_AcctCode_0_370" localSheetId="3">'Web Links'!$C$376:$G$376</definedName>
    <definedName name="GetCFData4PA.cfm?BU_0_AcctCode_0_371" localSheetId="3">'Web Links'!$C$377:$G$377</definedName>
    <definedName name="GetCFData4PA.cfm?BU_0_AcctCode_0_372" localSheetId="3">'Web Links'!$C$378:$G$378</definedName>
    <definedName name="GetCFData4PA.cfm?BU_0_AcctCode_0_373" localSheetId="3">'Web Links'!$C$379:$G$379</definedName>
    <definedName name="GetCFData4PA.cfm?BU_0_AcctCode_0_374" localSheetId="3">'Web Links'!$C$380:$G$380</definedName>
    <definedName name="GetCFData4PA.cfm?BU_0_AcctCode_0_375" localSheetId="3">'Web Links'!$C$381:$G$381</definedName>
    <definedName name="GetCFData4PA.cfm?BU_0_AcctCode_0_376" localSheetId="3">'Web Links'!$C$382:$G$382</definedName>
    <definedName name="GetCFData4PA.cfm?BU_0_AcctCode_0_377" localSheetId="3">'Web Links'!$C$383:$G$383</definedName>
    <definedName name="GetCFData4PA.cfm?BU_0_AcctCode_0_378" localSheetId="3">'Web Links'!$C$384:$G$384</definedName>
    <definedName name="GetCFData4PA.cfm?BU_0_AcctCode_0_379" localSheetId="3">'Web Links'!$C$385:$G$385</definedName>
    <definedName name="GetCFData4PA.cfm?BU_0_AcctCode_0_38" localSheetId="3">'Web Links'!$C$44:$G$44</definedName>
    <definedName name="GetCFData4PA.cfm?BU_0_AcctCode_0_380" localSheetId="3">'Web Links'!$C$386:$G$386</definedName>
    <definedName name="GetCFData4PA.cfm?BU_0_AcctCode_0_381" localSheetId="3">'Web Links'!$C$387:$G$387</definedName>
    <definedName name="GetCFData4PA.cfm?BU_0_AcctCode_0_382" localSheetId="3">'Web Links'!$C$388:$G$388</definedName>
    <definedName name="GetCFData4PA.cfm?BU_0_AcctCode_0_383" localSheetId="3">'Web Links'!$C$389:$G$389</definedName>
    <definedName name="GetCFData4PA.cfm?BU_0_AcctCode_0_384" localSheetId="3">'Web Links'!$C$390:$G$390</definedName>
    <definedName name="GetCFData4PA.cfm?BU_0_AcctCode_0_385" localSheetId="3">'Web Links'!$C$391:$G$391</definedName>
    <definedName name="GetCFData4PA.cfm?BU_0_AcctCode_0_386" localSheetId="3">'Web Links'!$C$392:$G$392</definedName>
    <definedName name="GetCFData4PA.cfm?BU_0_AcctCode_0_387" localSheetId="3">'Web Links'!$C$393:$G$393</definedName>
    <definedName name="GetCFData4PA.cfm?BU_0_AcctCode_0_388" localSheetId="3">'Web Links'!$C$394:$G$394</definedName>
    <definedName name="GetCFData4PA.cfm?BU_0_AcctCode_0_389" localSheetId="3">'Web Links'!$C$395:$G$395</definedName>
    <definedName name="GetCFData4PA.cfm?BU_0_AcctCode_0_39" localSheetId="3">'Web Links'!$C$45:$G$45</definedName>
    <definedName name="GetCFData4PA.cfm?BU_0_AcctCode_0_390" localSheetId="3">'Web Links'!$C$396:$G$396</definedName>
    <definedName name="GetCFData4PA.cfm?BU_0_AcctCode_0_391" localSheetId="3">'Web Links'!$C$397:$G$397</definedName>
    <definedName name="GetCFData4PA.cfm?BU_0_AcctCode_0_392" localSheetId="3">'Web Links'!$C$398:$G$398</definedName>
    <definedName name="GetCFData4PA.cfm?BU_0_AcctCode_0_393" localSheetId="3">'Web Links'!$C$399:$G$399</definedName>
    <definedName name="GetCFData4PA.cfm?BU_0_AcctCode_0_394" localSheetId="3">'Web Links'!$C$400:$G$400</definedName>
    <definedName name="GetCFData4PA.cfm?BU_0_AcctCode_0_395" localSheetId="3">'Web Links'!$C$401:$G$401</definedName>
    <definedName name="GetCFData4PA.cfm?BU_0_AcctCode_0_396" localSheetId="3">'Web Links'!$C$402:$G$402</definedName>
    <definedName name="GetCFData4PA.cfm?BU_0_AcctCode_0_397" localSheetId="3">'Web Links'!$C$403:$G$403</definedName>
    <definedName name="GetCFData4PA.cfm?BU_0_AcctCode_0_398" localSheetId="3">'Web Links'!$C$404:$G$404</definedName>
    <definedName name="GetCFData4PA.cfm?BU_0_AcctCode_0_399" localSheetId="3">'Web Links'!$C$405:$G$405</definedName>
    <definedName name="GetCFData4PA.cfm?BU_0_AcctCode_0_4" localSheetId="3">'Web Links'!$C$11:$G$11</definedName>
    <definedName name="GetCFData4PA.cfm?BU_0_AcctCode_0_40" localSheetId="3">'Web Links'!$C$46:$G$46</definedName>
    <definedName name="GetCFData4PA.cfm?BU_0_AcctCode_0_400" localSheetId="3">'Web Links'!$C$406:$G$406</definedName>
    <definedName name="GetCFData4PA.cfm?BU_0_AcctCode_0_401" localSheetId="3">'Web Links'!$C$407:$G$407</definedName>
    <definedName name="GetCFData4PA.cfm?BU_0_AcctCode_0_402" localSheetId="3">'Web Links'!$C$408:$G$408</definedName>
    <definedName name="GetCFData4PA.cfm?BU_0_AcctCode_0_403" localSheetId="3">'Web Links'!$C$409:$G$409</definedName>
    <definedName name="GetCFData4PA.cfm?BU_0_AcctCode_0_404" localSheetId="3">'Web Links'!$C$410:$G$410</definedName>
    <definedName name="GetCFData4PA.cfm?BU_0_AcctCode_0_405" localSheetId="3">'Web Links'!$C$411:$G$411</definedName>
    <definedName name="GetCFData4PA.cfm?BU_0_AcctCode_0_406" localSheetId="3">'Web Links'!$C$412:$G$412</definedName>
    <definedName name="GetCFData4PA.cfm?BU_0_AcctCode_0_407" localSheetId="3">'Web Links'!$C$413:$G$413</definedName>
    <definedName name="GetCFData4PA.cfm?BU_0_AcctCode_0_408" localSheetId="3">'Web Links'!$C$414:$G$414</definedName>
    <definedName name="GetCFData4PA.cfm?BU_0_AcctCode_0_409" localSheetId="3">'Web Links'!$C$415:$G$415</definedName>
    <definedName name="GetCFData4PA.cfm?BU_0_AcctCode_0_41" localSheetId="3">'Web Links'!$C$47:$G$47</definedName>
    <definedName name="GetCFData4PA.cfm?BU_0_AcctCode_0_410" localSheetId="3">'Web Links'!$C$416:$G$416</definedName>
    <definedName name="GetCFData4PA.cfm?BU_0_AcctCode_0_411" localSheetId="3">'Web Links'!$C$417:$G$417</definedName>
    <definedName name="GetCFData4PA.cfm?BU_0_AcctCode_0_412" localSheetId="3">'Web Links'!$C$418:$G$418</definedName>
    <definedName name="GetCFData4PA.cfm?BU_0_AcctCode_0_413" localSheetId="3">'Web Links'!$C$419:$G$419</definedName>
    <definedName name="GetCFData4PA.cfm?BU_0_AcctCode_0_414" localSheetId="3">'Web Links'!$C$420:$G$420</definedName>
    <definedName name="GetCFData4PA.cfm?BU_0_AcctCode_0_415" localSheetId="3">'Web Links'!$C$421:$G$421</definedName>
    <definedName name="GetCFData4PA.cfm?BU_0_AcctCode_0_416" localSheetId="3">'Web Links'!$C$422:$G$422</definedName>
    <definedName name="GetCFData4PA.cfm?BU_0_AcctCode_0_417" localSheetId="3">'Web Links'!$C$423:$G$423</definedName>
    <definedName name="GetCFData4PA.cfm?BU_0_AcctCode_0_418" localSheetId="3">'Web Links'!$C$424:$G$424</definedName>
    <definedName name="GetCFData4PA.cfm?BU_0_AcctCode_0_419" localSheetId="3">'Web Links'!$C$425:$G$425</definedName>
    <definedName name="GetCFData4PA.cfm?BU_0_AcctCode_0_42" localSheetId="3">'Web Links'!$C$48:$G$48</definedName>
    <definedName name="GetCFData4PA.cfm?BU_0_AcctCode_0_420" localSheetId="3">'Web Links'!$C$426:$G$426</definedName>
    <definedName name="GetCFData4PA.cfm?BU_0_AcctCode_0_421" localSheetId="3">'Web Links'!$C$427:$G$427</definedName>
    <definedName name="GetCFData4PA.cfm?BU_0_AcctCode_0_422" localSheetId="3">'Web Links'!$C$428:$G$428</definedName>
    <definedName name="GetCFData4PA.cfm?BU_0_AcctCode_0_423" localSheetId="3">'Web Links'!$C$429:$G$429</definedName>
    <definedName name="GetCFData4PA.cfm?BU_0_AcctCode_0_424" localSheetId="3">'Web Links'!$C$430:$G$430</definedName>
    <definedName name="GetCFData4PA.cfm?BU_0_AcctCode_0_425" localSheetId="3">'Web Links'!$C$431:$G$431</definedName>
    <definedName name="GetCFData4PA.cfm?BU_0_AcctCode_0_426" localSheetId="3">'Web Links'!$C$432:$G$432</definedName>
    <definedName name="GetCFData4PA.cfm?BU_0_AcctCode_0_427" localSheetId="3">'Web Links'!$C$433:$G$433</definedName>
    <definedName name="GetCFData4PA.cfm?BU_0_AcctCode_0_428" localSheetId="3">'Web Links'!$C$434:$G$434</definedName>
    <definedName name="GetCFData4PA.cfm?BU_0_AcctCode_0_429" localSheetId="3">'Web Links'!$C$435:$G$435</definedName>
    <definedName name="GetCFData4PA.cfm?BU_0_AcctCode_0_43" localSheetId="3">'Web Links'!$C$49:$G$49</definedName>
    <definedName name="GetCFData4PA.cfm?BU_0_AcctCode_0_430" localSheetId="3">'Web Links'!$C$436:$G$436</definedName>
    <definedName name="GetCFData4PA.cfm?BU_0_AcctCode_0_431" localSheetId="3">'Web Links'!$C$437:$G$437</definedName>
    <definedName name="GetCFData4PA.cfm?BU_0_AcctCode_0_432" localSheetId="3">'Web Links'!$C$438:$G$438</definedName>
    <definedName name="GetCFData4PA.cfm?BU_0_AcctCode_0_433" localSheetId="3">'Web Links'!$C$439:$G$439</definedName>
    <definedName name="GetCFData4PA.cfm?BU_0_AcctCode_0_434" localSheetId="3">'Web Links'!$C$440:$G$440</definedName>
    <definedName name="GetCFData4PA.cfm?BU_0_AcctCode_0_435" localSheetId="3">'Web Links'!$C$441:$G$441</definedName>
    <definedName name="GetCFData4PA.cfm?BU_0_AcctCode_0_436" localSheetId="3">'Web Links'!$C$442:$G$442</definedName>
    <definedName name="GetCFData4PA.cfm?BU_0_AcctCode_0_437" localSheetId="3">'Web Links'!$C$443:$G$443</definedName>
    <definedName name="GetCFData4PA.cfm?BU_0_AcctCode_0_438" localSheetId="3">'Web Links'!$C$444:$G$444</definedName>
    <definedName name="GetCFData4PA.cfm?BU_0_AcctCode_0_439" localSheetId="3">'Web Links'!$C$445:$G$445</definedName>
    <definedName name="GetCFData4PA.cfm?BU_0_AcctCode_0_44" localSheetId="3">'Web Links'!$C$50:$G$50</definedName>
    <definedName name="GetCFData4PA.cfm?BU_0_AcctCode_0_440" localSheetId="3">'Web Links'!$C$446:$G$446</definedName>
    <definedName name="GetCFData4PA.cfm?BU_0_AcctCode_0_441" localSheetId="3">'Web Links'!$C$447:$G$447</definedName>
    <definedName name="GetCFData4PA.cfm?BU_0_AcctCode_0_442" localSheetId="3">'Web Links'!$C$448:$G$448</definedName>
    <definedName name="GetCFData4PA.cfm?BU_0_AcctCode_0_443" localSheetId="3">'Web Links'!$C$449:$G$449</definedName>
    <definedName name="GetCFData4PA.cfm?BU_0_AcctCode_0_444" localSheetId="3">'Web Links'!$C$450:$G$450</definedName>
    <definedName name="GetCFData4PA.cfm?BU_0_AcctCode_0_445" localSheetId="3">'Web Links'!$C$451:$G$451</definedName>
    <definedName name="GetCFData4PA.cfm?BU_0_AcctCode_0_446" localSheetId="3">'Web Links'!$C$452:$G$452</definedName>
    <definedName name="GetCFData4PA.cfm?BU_0_AcctCode_0_447" localSheetId="3">'Web Links'!$C$453:$G$453</definedName>
    <definedName name="GetCFData4PA.cfm?BU_0_AcctCode_0_448" localSheetId="3">'Web Links'!$C$454:$G$454</definedName>
    <definedName name="GetCFData4PA.cfm?BU_0_AcctCode_0_449" localSheetId="3">'Web Links'!$C$455:$G$455</definedName>
    <definedName name="GetCFData4PA.cfm?BU_0_AcctCode_0_45" localSheetId="3">'Web Links'!$C$51:$G$51</definedName>
    <definedName name="GetCFData4PA.cfm?BU_0_AcctCode_0_450" localSheetId="3">'Web Links'!$C$456:$G$456</definedName>
    <definedName name="GetCFData4PA.cfm?BU_0_AcctCode_0_451" localSheetId="3">'Web Links'!$C$457:$G$457</definedName>
    <definedName name="GetCFData4PA.cfm?BU_0_AcctCode_0_452" localSheetId="3">'Web Links'!$C$458:$G$458</definedName>
    <definedName name="GetCFData4PA.cfm?BU_0_AcctCode_0_453" localSheetId="3">'Web Links'!$C$459:$G$459</definedName>
    <definedName name="GetCFData4PA.cfm?BU_0_AcctCode_0_454" localSheetId="3">'Web Links'!$C$460:$G$460</definedName>
    <definedName name="GetCFData4PA.cfm?BU_0_AcctCode_0_455" localSheetId="3">'Web Links'!$C$461:$G$461</definedName>
    <definedName name="GetCFData4PA.cfm?BU_0_AcctCode_0_456" localSheetId="3">'Web Links'!$C$462:$G$462</definedName>
    <definedName name="GetCFData4PA.cfm?BU_0_AcctCode_0_457" localSheetId="3">'Web Links'!$C$463:$G$463</definedName>
    <definedName name="GetCFData4PA.cfm?BU_0_AcctCode_0_458" localSheetId="3">'Web Links'!$C$464:$G$464</definedName>
    <definedName name="GetCFData4PA.cfm?BU_0_AcctCode_0_459" localSheetId="3">'Web Links'!$C$465:$G$465</definedName>
    <definedName name="GetCFData4PA.cfm?BU_0_AcctCode_0_46" localSheetId="3">'Web Links'!$C$52:$G$52</definedName>
    <definedName name="GetCFData4PA.cfm?BU_0_AcctCode_0_460" localSheetId="3">'Web Links'!$C$466:$G$466</definedName>
    <definedName name="GetCFData4PA.cfm?BU_0_AcctCode_0_461" localSheetId="3">'Web Links'!$C$467:$G$467</definedName>
    <definedName name="GetCFData4PA.cfm?BU_0_AcctCode_0_462" localSheetId="3">'Web Links'!$C$468:$G$468</definedName>
    <definedName name="GetCFData4PA.cfm?BU_0_AcctCode_0_463" localSheetId="3">'Web Links'!$C$469:$G$469</definedName>
    <definedName name="GetCFData4PA.cfm?BU_0_AcctCode_0_464" localSheetId="3">'Web Links'!$C$470:$G$470</definedName>
    <definedName name="GetCFData4PA.cfm?BU_0_AcctCode_0_465" localSheetId="3">'Web Links'!$C$471:$G$471</definedName>
    <definedName name="GetCFData4PA.cfm?BU_0_AcctCode_0_466" localSheetId="3">'Web Links'!$C$472:$G$472</definedName>
    <definedName name="GetCFData4PA.cfm?BU_0_AcctCode_0_467" localSheetId="3">'Web Links'!$C$473:$G$473</definedName>
    <definedName name="GetCFData4PA.cfm?BU_0_AcctCode_0_468" localSheetId="3">'Web Links'!$C$474:$G$474</definedName>
    <definedName name="GetCFData4PA.cfm?BU_0_AcctCode_0_469" localSheetId="3">'Web Links'!$C$475:$G$475</definedName>
    <definedName name="GetCFData4PA.cfm?BU_0_AcctCode_0_47" localSheetId="3">'Web Links'!$C$53:$G$53</definedName>
    <definedName name="GetCFData4PA.cfm?BU_0_AcctCode_0_470" localSheetId="3">'Web Links'!$C$476:$G$476</definedName>
    <definedName name="GetCFData4PA.cfm?BU_0_AcctCode_0_471" localSheetId="3">'Web Links'!$C$477:$G$477</definedName>
    <definedName name="GetCFData4PA.cfm?BU_0_AcctCode_0_472" localSheetId="3">'Web Links'!$C$478:$G$478</definedName>
    <definedName name="GetCFData4PA.cfm?BU_0_AcctCode_0_473" localSheetId="3">'Web Links'!$C$479:$G$479</definedName>
    <definedName name="GetCFData4PA.cfm?BU_0_AcctCode_0_474" localSheetId="3">'Web Links'!$C$480:$G$480</definedName>
    <definedName name="GetCFData4PA.cfm?BU_0_AcctCode_0_475" localSheetId="3">'Web Links'!$C$481:$G$481</definedName>
    <definedName name="GetCFData4PA.cfm?BU_0_AcctCode_0_476" localSheetId="3">'Web Links'!$C$482:$G$482</definedName>
    <definedName name="GetCFData4PA.cfm?BU_0_AcctCode_0_477" localSheetId="3">'Web Links'!$C$483:$G$483</definedName>
    <definedName name="GetCFData4PA.cfm?BU_0_AcctCode_0_478" localSheetId="3">'Web Links'!$C$484:$G$484</definedName>
    <definedName name="GetCFData4PA.cfm?BU_0_AcctCode_0_479" localSheetId="3">'Web Links'!$C$485:$G$485</definedName>
    <definedName name="GetCFData4PA.cfm?BU_0_AcctCode_0_48" localSheetId="3">'Web Links'!$C$54:$G$54</definedName>
    <definedName name="GetCFData4PA.cfm?BU_0_AcctCode_0_480" localSheetId="3">'Web Links'!$C$486:$G$486</definedName>
    <definedName name="GetCFData4PA.cfm?BU_0_AcctCode_0_481" localSheetId="3">'Web Links'!$C$487:$G$487</definedName>
    <definedName name="GetCFData4PA.cfm?BU_0_AcctCode_0_482" localSheetId="3">'Web Links'!$C$488:$G$488</definedName>
    <definedName name="GetCFData4PA.cfm?BU_0_AcctCode_0_483" localSheetId="3">'Web Links'!$C$489:$G$489</definedName>
    <definedName name="GetCFData4PA.cfm?BU_0_AcctCode_0_484" localSheetId="3">'Web Links'!$C$490:$G$490</definedName>
    <definedName name="GetCFData4PA.cfm?BU_0_AcctCode_0_485" localSheetId="3">'Web Links'!$C$491:$G$491</definedName>
    <definedName name="GetCFData4PA.cfm?BU_0_AcctCode_0_486" localSheetId="3">'Web Links'!$C$492:$G$492</definedName>
    <definedName name="GetCFData4PA.cfm?BU_0_AcctCode_0_487" localSheetId="3">'Web Links'!$C$493:$G$493</definedName>
    <definedName name="GetCFData4PA.cfm?BU_0_AcctCode_0_488" localSheetId="3">'Web Links'!$C$494:$G$494</definedName>
    <definedName name="GetCFData4PA.cfm?BU_0_AcctCode_0_489" localSheetId="3">'Web Links'!$C$495:$G$495</definedName>
    <definedName name="GetCFData4PA.cfm?BU_0_AcctCode_0_49" localSheetId="3">'Web Links'!$C$55:$G$55</definedName>
    <definedName name="GetCFData4PA.cfm?BU_0_AcctCode_0_490" localSheetId="3">'Web Links'!$C$496:$G$496</definedName>
    <definedName name="GetCFData4PA.cfm?BU_0_AcctCode_0_491" localSheetId="3">'Web Links'!$C$497:$G$497</definedName>
    <definedName name="GetCFData4PA.cfm?BU_0_AcctCode_0_492" localSheetId="3">'Web Links'!$C$498:$G$498</definedName>
    <definedName name="GetCFData4PA.cfm?BU_0_AcctCode_0_493" localSheetId="3">'Web Links'!$C$499:$G$499</definedName>
    <definedName name="GetCFData4PA.cfm?BU_0_AcctCode_0_5" localSheetId="3">'Web Links'!$C$12:$G$12</definedName>
    <definedName name="GetCFData4PA.cfm?BU_0_AcctCode_0_50" localSheetId="3">'Web Links'!$C$56:$G$56</definedName>
    <definedName name="GetCFData4PA.cfm?BU_0_AcctCode_0_51" localSheetId="3">'Web Links'!$C$57:$G$57</definedName>
    <definedName name="GetCFData4PA.cfm?BU_0_AcctCode_0_52" localSheetId="3">'Web Links'!$C$58:$G$58</definedName>
    <definedName name="GetCFData4PA.cfm?BU_0_AcctCode_0_53" localSheetId="3">'Web Links'!$C$59:$G$59</definedName>
    <definedName name="GetCFData4PA.cfm?BU_0_AcctCode_0_54" localSheetId="3">'Web Links'!$C$60:$G$60</definedName>
    <definedName name="GetCFData4PA.cfm?BU_0_AcctCode_0_55" localSheetId="3">'Web Links'!$C$61:$G$61</definedName>
    <definedName name="GetCFData4PA.cfm?BU_0_AcctCode_0_56" localSheetId="3">'Web Links'!$C$62:$G$62</definedName>
    <definedName name="GetCFData4PA.cfm?BU_0_AcctCode_0_57" localSheetId="3">'Web Links'!$C$63:$G$63</definedName>
    <definedName name="GetCFData4PA.cfm?BU_0_AcctCode_0_58" localSheetId="3">'Web Links'!$C$64:$G$64</definedName>
    <definedName name="GetCFData4PA.cfm?BU_0_AcctCode_0_59" localSheetId="3">'Web Links'!$C$65:$G$65</definedName>
    <definedName name="GetCFData4PA.cfm?BU_0_AcctCode_0_6" localSheetId="3">'Web Links'!$C$12:$G$12</definedName>
    <definedName name="GetCFData4PA.cfm?BU_0_AcctCode_0_60" localSheetId="3">'Web Links'!$C$66:$G$66</definedName>
    <definedName name="GetCFData4PA.cfm?BU_0_AcctCode_0_61" localSheetId="3">'Web Links'!$C$67:$G$67</definedName>
    <definedName name="GetCFData4PA.cfm?BU_0_AcctCode_0_62" localSheetId="3">'Web Links'!$C$68:$G$68</definedName>
    <definedName name="GetCFData4PA.cfm?BU_0_AcctCode_0_63" localSheetId="3">'Web Links'!$C$69:$G$69</definedName>
    <definedName name="GetCFData4PA.cfm?BU_0_AcctCode_0_64" localSheetId="3">'Web Links'!$C$70:$G$70</definedName>
    <definedName name="GetCFData4PA.cfm?BU_0_AcctCode_0_65" localSheetId="3">'Web Links'!$C$71:$G$71</definedName>
    <definedName name="GetCFData4PA.cfm?BU_0_AcctCode_0_66" localSheetId="3">'Web Links'!$C$72:$G$72</definedName>
    <definedName name="GetCFData4PA.cfm?BU_0_AcctCode_0_67" localSheetId="3">'Web Links'!$C$73:$G$73</definedName>
    <definedName name="GetCFData4PA.cfm?BU_0_AcctCode_0_68" localSheetId="3">'Web Links'!$C$74:$G$74</definedName>
    <definedName name="GetCFData4PA.cfm?BU_0_AcctCode_0_69" localSheetId="3">'Web Links'!$C$75:$G$75</definedName>
    <definedName name="GetCFData4PA.cfm?BU_0_AcctCode_0_7" localSheetId="3">'Web Links'!$C$13:$G$13</definedName>
    <definedName name="GetCFData4PA.cfm?BU_0_AcctCode_0_70" localSheetId="3">'Web Links'!$C$76:$G$76</definedName>
    <definedName name="GetCFData4PA.cfm?BU_0_AcctCode_0_71" localSheetId="3">'Web Links'!$C$77:$G$77</definedName>
    <definedName name="GetCFData4PA.cfm?BU_0_AcctCode_0_72" localSheetId="3">'Web Links'!$C$78:$G$78</definedName>
    <definedName name="GetCFData4PA.cfm?BU_0_AcctCode_0_73" localSheetId="3">'Web Links'!$C$79:$G$79</definedName>
    <definedName name="GetCFData4PA.cfm?BU_0_AcctCode_0_74" localSheetId="3">'Web Links'!$C$80:$G$80</definedName>
    <definedName name="GetCFData4PA.cfm?BU_0_AcctCode_0_75" localSheetId="3">'Web Links'!$C$81:$G$81</definedName>
    <definedName name="GetCFData4PA.cfm?BU_0_AcctCode_0_76" localSheetId="3">'Web Links'!$C$82:$G$82</definedName>
    <definedName name="GetCFData4PA.cfm?BU_0_AcctCode_0_77" localSheetId="3">'Web Links'!$C$83:$G$83</definedName>
    <definedName name="GetCFData4PA.cfm?BU_0_AcctCode_0_78" localSheetId="3">'Web Links'!$C$84:$G$84</definedName>
    <definedName name="GetCFData4PA.cfm?BU_0_AcctCode_0_79" localSheetId="3">'Web Links'!$C$85:$G$85</definedName>
    <definedName name="GetCFData4PA.cfm?BU_0_AcctCode_0_8" localSheetId="3">'Web Links'!$C$14:$G$14</definedName>
    <definedName name="GetCFData4PA.cfm?BU_0_AcctCode_0_80" localSheetId="3">'Web Links'!$C$86:$G$86</definedName>
    <definedName name="GetCFData4PA.cfm?BU_0_AcctCode_0_81" localSheetId="3">'Web Links'!$C$87:$G$87</definedName>
    <definedName name="GetCFData4PA.cfm?BU_0_AcctCode_0_82" localSheetId="3">'Web Links'!$C$88:$G$88</definedName>
    <definedName name="GetCFData4PA.cfm?BU_0_AcctCode_0_83" localSheetId="3">'Web Links'!$C$89:$G$89</definedName>
    <definedName name="GetCFData4PA.cfm?BU_0_AcctCode_0_84" localSheetId="3">'Web Links'!$C$90:$G$90</definedName>
    <definedName name="GetCFData4PA.cfm?BU_0_AcctCode_0_85" localSheetId="3">'Web Links'!$C$91:$G$91</definedName>
    <definedName name="GetCFData4PA.cfm?BU_0_AcctCode_0_86" localSheetId="3">'Web Links'!$C$92:$G$92</definedName>
    <definedName name="GetCFData4PA.cfm?BU_0_AcctCode_0_87" localSheetId="3">'Web Links'!$C$93:$G$93</definedName>
    <definedName name="GetCFData4PA.cfm?BU_0_AcctCode_0_88" localSheetId="3">'Web Links'!$C$94:$G$94</definedName>
    <definedName name="GetCFData4PA.cfm?BU_0_AcctCode_0_89" localSheetId="3">'Web Links'!$C$95:$G$95</definedName>
    <definedName name="GetCFData4PA.cfm?BU_0_AcctCode_0_9" localSheetId="3">'Web Links'!$C$15:$G$15</definedName>
    <definedName name="GetCFData4PA.cfm?BU_0_AcctCode_0_90" localSheetId="3">'Web Links'!$C$96:$G$96</definedName>
    <definedName name="GetCFData4PA.cfm?BU_0_AcctCode_0_91" localSheetId="3">'Web Links'!$C$97:$G$97</definedName>
    <definedName name="GetCFData4PA.cfm?BU_0_AcctCode_0_92" localSheetId="3">'Web Links'!$C$98:$G$98</definedName>
    <definedName name="GetCFData4PA.cfm?BU_0_AcctCode_0_93" localSheetId="3">'Web Links'!$C$99:$G$99</definedName>
    <definedName name="GetCFData4PA.cfm?BU_0_AcctCode_0_94" localSheetId="3">'Web Links'!$C$100:$G$100</definedName>
    <definedName name="GetCFData4PA.cfm?BU_0_AcctCode_0_95" localSheetId="3">'Web Links'!$C$101:$G$101</definedName>
    <definedName name="GetCFData4PA.cfm?BU_0_AcctCode_0_96" localSheetId="3">'Web Links'!$C$102:$G$102</definedName>
    <definedName name="GetCFData4PA.cfm?BU_0_AcctCode_0_97" localSheetId="3">'Web Links'!$C$103:$G$103</definedName>
    <definedName name="GetCFData4PA.cfm?BU_0_AcctCode_0_98" localSheetId="3">'Web Links'!$C$104:$G$104</definedName>
    <definedName name="GetCFData4PA.cfm?BU_0_AcctCode_0_99" localSheetId="3">'Web Links'!$C$105:$G$105</definedName>
    <definedName name="GetCFData4PA.cfm?BU_UMWOR_AcctCode_0" localSheetId="3">'Web Links'!#REF!</definedName>
    <definedName name="GetCFData4PA.cfm?BU_UMWOR_AcctCode_W102836" localSheetId="3">'Web Links'!$C$4:$G$4</definedName>
    <definedName name="GetCFData4PA.cfm?BU_UMWOR_AcctCode_W102836_1" localSheetId="3">'Web Links'!$C$4:$G$4</definedName>
    <definedName name="GetCFData4PA.cfm?BU_UMWOR_AcctCode_W102836_10" localSheetId="3">'Web Links'!$C$4:$G$4</definedName>
    <definedName name="GetCFData4PA.cfm?BU_UMWOR_AcctCode_W102836_11" localSheetId="3">'Web Links'!$C$4:$G$4</definedName>
    <definedName name="GetCFData4PA.cfm?BU_UMWOR_AcctCode_W102836_12" localSheetId="3">'Web Links'!$C$4:$G$4</definedName>
    <definedName name="GetCFData4PA.cfm?BU_UMWOR_AcctCode_W102836_13" localSheetId="3">'Web Links'!$C$4:$G$4</definedName>
    <definedName name="GetCFData4PA.cfm?BU_UMWOR_AcctCode_W102836_14" localSheetId="3">'Web Links'!$C$4:$G$4</definedName>
    <definedName name="GetCFData4PA.cfm?BU_UMWOR_AcctCode_W102836_15" localSheetId="3">'Web Links'!$C$4:$G$4</definedName>
    <definedName name="GetCFData4PA.cfm?BU_UMWOR_AcctCode_W102836_16" localSheetId="3">'Web Links'!$C$4:$G$4</definedName>
    <definedName name="GetCFData4PA.cfm?BU_UMWOR_AcctCode_W102836_17" localSheetId="3">'Web Links'!$C$4:$G$4</definedName>
    <definedName name="GetCFData4PA.cfm?BU_UMWOR_AcctCode_W102836_18" localSheetId="3">'Web Links'!$C$4:$G$4</definedName>
    <definedName name="GetCFData4PA.cfm?BU_UMWOR_AcctCode_W102836_19" localSheetId="3">'Web Links'!$C$4:$G$4</definedName>
    <definedName name="GetCFData4PA.cfm?BU_UMWOR_AcctCode_W102836_2" localSheetId="3">'Web Links'!$C$4:$G$4</definedName>
    <definedName name="GetCFData4PA.cfm?BU_UMWOR_AcctCode_W102836_20" localSheetId="3">'Web Links'!$C$4:$G$4</definedName>
    <definedName name="GetCFData4PA.cfm?BU_UMWOR_AcctCode_W102836_21" localSheetId="3">'Web Links'!$C$4:$G$4</definedName>
    <definedName name="GetCFData4PA.cfm?BU_UMWOR_AcctCode_W102836_22" localSheetId="3">'Web Links'!$C$4:$G$4</definedName>
    <definedName name="GetCFData4PA.cfm?BU_UMWOR_AcctCode_W102836_23" localSheetId="3">'Web Links'!$C$4:$G$4</definedName>
    <definedName name="GetCFData4PA.cfm?BU_UMWOR_AcctCode_W102836_24" localSheetId="3">'Web Links'!$C$4:$G$4</definedName>
    <definedName name="GetCFData4PA.cfm?BU_UMWOR_AcctCode_W102836_25" localSheetId="3">'Web Links'!$C$4:$G$4</definedName>
    <definedName name="GetCFData4PA.cfm?BU_UMWOR_AcctCode_W102836_26" localSheetId="3">'Web Links'!$C$4:$G$4</definedName>
    <definedName name="GetCFData4PA.cfm?BU_UMWOR_AcctCode_W102836_27" localSheetId="3">'Web Links'!$C$4:$G$4</definedName>
    <definedName name="GetCFData4PA.cfm?BU_UMWOR_AcctCode_W102836_28" localSheetId="3">'Web Links'!$C$4:$G$4</definedName>
    <definedName name="GetCFData4PA.cfm?BU_UMWOR_AcctCode_W102836_29" localSheetId="3">'Web Links'!$C$4:$G$4</definedName>
    <definedName name="GetCFData4PA.cfm?BU_UMWOR_AcctCode_W102836_3" localSheetId="3">'Web Links'!$C$4:$G$4</definedName>
    <definedName name="GetCFData4PA.cfm?BU_UMWOR_AcctCode_W102836_30" localSheetId="3">'Web Links'!$C$4:$G$4</definedName>
    <definedName name="GetCFData4PA.cfm?BU_UMWOR_AcctCode_W102836_31" localSheetId="3">'Web Links'!$C$4:$G$4</definedName>
    <definedName name="GetCFData4PA.cfm?BU_UMWOR_AcctCode_W102836_32" localSheetId="3">'Web Links'!$C$4:$G$4</definedName>
    <definedName name="GetCFData4PA.cfm?BU_UMWOR_AcctCode_W102836_33" localSheetId="3">'Web Links'!$C$4:$G$4</definedName>
    <definedName name="GetCFData4PA.cfm?BU_UMWOR_AcctCode_W102836_34" localSheetId="3">'Web Links'!$C$4:$G$4</definedName>
    <definedName name="GetCFData4PA.cfm?BU_UMWOR_AcctCode_W102836_35" localSheetId="3">'Web Links'!$C$4:$G$4</definedName>
    <definedName name="GetCFData4PA.cfm?BU_UMWOR_AcctCode_W102836_36" localSheetId="3">'Web Links'!$C$4:$G$4</definedName>
    <definedName name="GetCFData4PA.cfm?BU_UMWOR_AcctCode_W102836_37" localSheetId="3">'Web Links'!$C$4:$G$4</definedName>
    <definedName name="GetCFData4PA.cfm?BU_UMWOR_AcctCode_W102836_38" localSheetId="3">'Web Links'!$C$4:$G$4</definedName>
    <definedName name="GetCFData4PA.cfm?BU_UMWOR_AcctCode_W102836_39" localSheetId="3">'Web Links'!$C$4:$G$4</definedName>
    <definedName name="GetCFData4PA.cfm?BU_UMWOR_AcctCode_W102836_4" localSheetId="3">'Web Links'!$C$4:$G$4</definedName>
    <definedName name="GetCFData4PA.cfm?BU_UMWOR_AcctCode_W102836_40" localSheetId="3">'Web Links'!$C$4:$G$4</definedName>
    <definedName name="GetCFData4PA.cfm?BU_UMWOR_AcctCode_W102836_41" localSheetId="3">'Web Links'!$C$4:$G$4</definedName>
    <definedName name="GetCFData4PA.cfm?BU_UMWOR_AcctCode_W102836_42" localSheetId="3">'Web Links'!$C$4:$G$4</definedName>
    <definedName name="GetCFData4PA.cfm?BU_UMWOR_AcctCode_W102836_43" localSheetId="3">'Web Links'!$C$4:$G$4</definedName>
    <definedName name="GetCFData4PA.cfm?BU_UMWOR_AcctCode_W102836_44" localSheetId="3">'Web Links'!$C$4:$G$4</definedName>
    <definedName name="GetCFData4PA.cfm?BU_UMWOR_AcctCode_W102836_45" localSheetId="3">'Web Links'!$C$4:$G$4</definedName>
    <definedName name="GetCFData4PA.cfm?BU_UMWOR_AcctCode_W102836_46" localSheetId="3">'Web Links'!$C$4:$G$4</definedName>
    <definedName name="GetCFData4PA.cfm?BU_UMWOR_AcctCode_W102836_47" localSheetId="3">'Web Links'!$C$4:$G$4</definedName>
    <definedName name="GetCFData4PA.cfm?BU_UMWOR_AcctCode_W102836_48" localSheetId="3">'Web Links'!$C$4:$G$4</definedName>
    <definedName name="GetCFData4PA.cfm?BU_UMWOR_AcctCode_W102836_49" localSheetId="3">'Web Links'!$C$4:$G$4</definedName>
    <definedName name="GetCFData4PA.cfm?BU_UMWOR_AcctCode_W102836_5" localSheetId="3">'Web Links'!$C$4:$G$4</definedName>
    <definedName name="GetCFData4PA.cfm?BU_UMWOR_AcctCode_W102836_50" localSheetId="3">'Web Links'!$C$4:$G$4</definedName>
    <definedName name="GetCFData4PA.cfm?BU_UMWOR_AcctCode_W102836_51" localSheetId="3">'Web Links'!$C$4:$G$4</definedName>
    <definedName name="GetCFData4PA.cfm?BU_UMWOR_AcctCode_W102836_52" localSheetId="3">'Web Links'!$C$4:$G$4</definedName>
    <definedName name="GetCFData4PA.cfm?BU_UMWOR_AcctCode_W102836_53" localSheetId="3">'Web Links'!$C$4:$G$4</definedName>
    <definedName name="GetCFData4PA.cfm?BU_UMWOR_AcctCode_W102836_54" localSheetId="3">'Web Links'!$C$4:$G$4</definedName>
    <definedName name="GetCFData4PA.cfm?BU_UMWOR_AcctCode_W102836_55" localSheetId="3">'Web Links'!$C$4:$G$4</definedName>
    <definedName name="GetCFData4PA.cfm?BU_UMWOR_AcctCode_W102836_56" localSheetId="3">'Web Links'!$C$4:$G$4</definedName>
    <definedName name="GetCFData4PA.cfm?BU_UMWOR_AcctCode_W102836_57" localSheetId="3">'Web Links'!$C$4:$G$4</definedName>
    <definedName name="GetCFData4PA.cfm?BU_UMWOR_AcctCode_W102836_58" localSheetId="3">'Web Links'!$C$4:$G$4</definedName>
    <definedName name="GetCFData4PA.cfm?BU_UMWOR_AcctCode_W102836_59" localSheetId="3">'Web Links'!$C$4:$G$4</definedName>
    <definedName name="GetCFData4PA.cfm?BU_UMWOR_AcctCode_W102836_6" localSheetId="3">'Web Links'!$C$4:$G$4</definedName>
    <definedName name="GetCFData4PA.cfm?BU_UMWOR_AcctCode_W102836_60" localSheetId="3">'Web Links'!$C$4:$G$4</definedName>
    <definedName name="GetCFData4PA.cfm?BU_UMWOR_AcctCode_W102836_61" localSheetId="3">'Web Links'!$C$4:$G$4</definedName>
    <definedName name="GetCFData4PA.cfm?BU_UMWOR_AcctCode_W102836_62" localSheetId="3">'Web Links'!$C$4:$G$4</definedName>
    <definedName name="GetCFData4PA.cfm?BU_UMWOR_AcctCode_W102836_63" localSheetId="3">'Web Links'!$C$4:$G$4</definedName>
    <definedName name="GetCFData4PA.cfm?BU_UMWOR_AcctCode_W102836_64" localSheetId="3">'Web Links'!$C$4:$G$4</definedName>
    <definedName name="GetCFData4PA.cfm?BU_UMWOR_AcctCode_W102836_65" localSheetId="3">'Web Links'!$C$4:$G$4</definedName>
    <definedName name="GetCFData4PA.cfm?BU_UMWOR_AcctCode_W102836_66" localSheetId="3">'Web Links'!$C$4:$G$4</definedName>
    <definedName name="GetCFData4PA.cfm?BU_UMWOR_AcctCode_W102836_67" localSheetId="3">'Web Links'!$C$4:$G$4</definedName>
    <definedName name="GetCFData4PA.cfm?BU_UMWOR_AcctCode_W102836_68" localSheetId="3">'Web Links'!$C$4:$G$4</definedName>
    <definedName name="GetCFData4PA.cfm?BU_UMWOR_AcctCode_W102836_69" localSheetId="3">'Web Links'!$C$4:$G$4</definedName>
    <definedName name="GetCFData4PA.cfm?BU_UMWOR_AcctCode_W102836_7" localSheetId="3">'Web Links'!$C$4:$G$4</definedName>
    <definedName name="GetCFData4PA.cfm?BU_UMWOR_AcctCode_W102836_70" localSheetId="3">'Web Links'!$C$4:$G$4</definedName>
    <definedName name="GetCFData4PA.cfm?BU_UMWOR_AcctCode_W102836_71" localSheetId="3">'Web Links'!$C$4:$G$4</definedName>
    <definedName name="GetCFData4PA.cfm?BU_UMWOR_AcctCode_W102836_72" localSheetId="3">'Web Links'!$C$4:$G$4</definedName>
    <definedName name="GetCFData4PA.cfm?BU_UMWOR_AcctCode_W102836_73" localSheetId="3">'Web Links'!$C$4:$G$4</definedName>
    <definedName name="GetCFData4PA.cfm?BU_UMWOR_AcctCode_W102836_74" localSheetId="3">'Web Links'!$C$4:$G$4</definedName>
    <definedName name="GetCFData4PA.cfm?BU_UMWOR_AcctCode_W102836_75" localSheetId="3">'Web Links'!$C$4:$G$4</definedName>
    <definedName name="GetCFData4PA.cfm?BU_UMWOR_AcctCode_W102836_76" localSheetId="3">'Web Links'!$C$4:$G$4</definedName>
    <definedName name="GetCFData4PA.cfm?BU_UMWOR_AcctCode_W102836_77" localSheetId="3">'Web Links'!$C$4:$G$4</definedName>
    <definedName name="GetCFData4PA.cfm?BU_UMWOR_AcctCode_W102836_78" localSheetId="3">'Web Links'!$C$4:$G$4</definedName>
    <definedName name="GetCFData4PA.cfm?BU_UMWOR_AcctCode_W102836_79" localSheetId="3">'Web Links'!$C$4:$G$4</definedName>
    <definedName name="GetCFData4PA.cfm?BU_UMWOR_AcctCode_W102836_8" localSheetId="3">'Web Links'!$C$4:$G$4</definedName>
    <definedName name="GetCFData4PA.cfm?BU_UMWOR_AcctCode_W102836_80" localSheetId="3">'Web Links'!$C$4:$G$4</definedName>
    <definedName name="GetCFData4PA.cfm?BU_UMWOR_AcctCode_W102836_81" localSheetId="3">'Web Links'!$C$4:$G$4</definedName>
    <definedName name="GetCFData4PA.cfm?BU_UMWOR_AcctCode_W102836_82" localSheetId="3">'Web Links'!$C$4:$G$4</definedName>
    <definedName name="GetCFData4PA.cfm?BU_UMWOR_AcctCode_W102836_83" localSheetId="3">'Web Links'!$C$5:$G$5</definedName>
    <definedName name="GetCFData4PA.cfm?BU_UMWOR_AcctCode_W102836_84" localSheetId="3">'Web Links'!$C$6:$G$6</definedName>
    <definedName name="GetCFData4PA.cfm?BU_UMWOR_AcctCode_W102836_9" localSheetId="3">'Web Links'!$C$4:$G$4</definedName>
    <definedName name="GetCFData4PA.cfm?BU_UMWOR_AcctCode_W112767" localSheetId="3">'Web Links'!$C$500:$G$500</definedName>
    <definedName name="GetCFData4PA.cfm?BU_UMWOR_AcctCode_W112767_1" localSheetId="3">'Web Links'!$C$501:$G$501</definedName>
    <definedName name="GetCFData4PA.cfm?BU_UMWOR_AcctCode_W123456" localSheetId="3">'Web Links'!$C$2:$G$2</definedName>
    <definedName name="GetCFData4PA.cfm?BU_UMWOR_AcctCode_W123456_1" localSheetId="3">'Web Links'!$C$3:$G$3</definedName>
    <definedName name="GetCFData4PA.cfm?BU_UMWOR_AcctCode_W123456_2" localSheetId="3">'Web Links'!#REF!</definedName>
    <definedName name="GetCFData4PA.cfm?BU_UMWOR_AcctCode_W123456_3" localSheetId="3">'Web Links'!#REF!</definedName>
    <definedName name="GetCFData4PA2.cfm?BU_0_SpeedKey_0_10" localSheetId="3">'Web Links'!$C$9:$G$9</definedName>
    <definedName name="GetCFData4PA2.cfm?BU_0_SpeedKey_0_100" localSheetId="3">'Web Links'!$C$99:$G$99</definedName>
    <definedName name="GetCFData4PA2.cfm?BU_0_SpeedKey_0_101" localSheetId="3">'Web Links'!$C$100:$G$100</definedName>
    <definedName name="GetCFData4PA2.cfm?BU_0_SpeedKey_0_102" localSheetId="3">'Web Links'!$C$101:$G$101</definedName>
    <definedName name="GetCFData4PA2.cfm?BU_0_SpeedKey_0_103" localSheetId="3">'Web Links'!$C$102:$G$102</definedName>
    <definedName name="GetCFData4PA2.cfm?BU_0_SpeedKey_0_104" localSheetId="3">'Web Links'!$C$103:$G$103</definedName>
    <definedName name="GetCFData4PA2.cfm?BU_0_SpeedKey_0_105" localSheetId="3">'Web Links'!$C$104:$G$104</definedName>
    <definedName name="GetCFData4PA2.cfm?BU_0_SpeedKey_0_106" localSheetId="3">'Web Links'!$C$105:$G$105</definedName>
    <definedName name="GetCFData4PA2.cfm?BU_0_SpeedKey_0_107" localSheetId="3">'Web Links'!$C$106:$G$106</definedName>
    <definedName name="GetCFData4PA2.cfm?BU_0_SpeedKey_0_108" localSheetId="3">'Web Links'!$C$107:$G$107</definedName>
    <definedName name="GetCFData4PA2.cfm?BU_0_SpeedKey_0_109" localSheetId="3">'Web Links'!$C$108:$G$108</definedName>
    <definedName name="GetCFData4PA2.cfm?BU_0_SpeedKey_0_11" localSheetId="3">'Web Links'!$C$10:$G$10</definedName>
    <definedName name="GetCFData4PA2.cfm?BU_0_SpeedKey_0_110" localSheetId="3">'Web Links'!$C$109:$G$109</definedName>
    <definedName name="GetCFData4PA2.cfm?BU_0_SpeedKey_0_111" localSheetId="3">'Web Links'!$C$110:$G$110</definedName>
    <definedName name="GetCFData4PA2.cfm?BU_0_SpeedKey_0_112" localSheetId="3">'Web Links'!$C$111:$G$111</definedName>
    <definedName name="GetCFData4PA2.cfm?BU_0_SpeedKey_0_113" localSheetId="3">'Web Links'!$C$112:$G$112</definedName>
    <definedName name="GetCFData4PA2.cfm?BU_0_SpeedKey_0_114" localSheetId="3">'Web Links'!$C$113:$G$113</definedName>
    <definedName name="GetCFData4PA2.cfm?BU_0_SpeedKey_0_115" localSheetId="3">'Web Links'!$C$114:$G$114</definedName>
    <definedName name="GetCFData4PA2.cfm?BU_0_SpeedKey_0_116" localSheetId="3">'Web Links'!$C$115:$G$115</definedName>
    <definedName name="GetCFData4PA2.cfm?BU_0_SpeedKey_0_117" localSheetId="3">'Web Links'!$C$116:$G$116</definedName>
    <definedName name="GetCFData4PA2.cfm?BU_0_SpeedKey_0_118" localSheetId="3">'Web Links'!$C$117:$G$117</definedName>
    <definedName name="GetCFData4PA2.cfm?BU_0_SpeedKey_0_119" localSheetId="3">'Web Links'!$C$118:$G$118</definedName>
    <definedName name="GetCFData4PA2.cfm?BU_0_SpeedKey_0_12" localSheetId="3">'Web Links'!$C$11:$G$11</definedName>
    <definedName name="GetCFData4PA2.cfm?BU_0_SpeedKey_0_120" localSheetId="3">'Web Links'!$C$119:$G$119</definedName>
    <definedName name="GetCFData4PA2.cfm?BU_0_SpeedKey_0_121" localSheetId="3">'Web Links'!$C$120:$G$120</definedName>
    <definedName name="GetCFData4PA2.cfm?BU_0_SpeedKey_0_122" localSheetId="3">'Web Links'!$C$121:$G$121</definedName>
    <definedName name="GetCFData4PA2.cfm?BU_0_SpeedKey_0_123" localSheetId="3">'Web Links'!$C$122:$G$122</definedName>
    <definedName name="GetCFData4PA2.cfm?BU_0_SpeedKey_0_124" localSheetId="3">'Web Links'!$C$123:$G$123</definedName>
    <definedName name="GetCFData4PA2.cfm?BU_0_SpeedKey_0_125" localSheetId="3">'Web Links'!$C$124:$G$124</definedName>
    <definedName name="GetCFData4PA2.cfm?BU_0_SpeedKey_0_126" localSheetId="3">'Web Links'!$C$125:$G$125</definedName>
    <definedName name="GetCFData4PA2.cfm?BU_0_SpeedKey_0_127" localSheetId="3">'Web Links'!$C$126:$G$126</definedName>
    <definedName name="GetCFData4PA2.cfm?BU_0_SpeedKey_0_128" localSheetId="3">'Web Links'!$C$127:$G$127</definedName>
    <definedName name="GetCFData4PA2.cfm?BU_0_SpeedKey_0_129" localSheetId="3">'Web Links'!$C$128:$G$128</definedName>
    <definedName name="GetCFData4PA2.cfm?BU_0_SpeedKey_0_13" localSheetId="3">'Web Links'!$C$12:$G$12</definedName>
    <definedName name="GetCFData4PA2.cfm?BU_0_SpeedKey_0_130" localSheetId="3">'Web Links'!$C$129:$G$129</definedName>
    <definedName name="GetCFData4PA2.cfm?BU_0_SpeedKey_0_131" localSheetId="3">'Web Links'!$C$130:$G$130</definedName>
    <definedName name="GetCFData4PA2.cfm?BU_0_SpeedKey_0_132" localSheetId="3">'Web Links'!$C$131:$G$131</definedName>
    <definedName name="GetCFData4PA2.cfm?BU_0_SpeedKey_0_133" localSheetId="3">'Web Links'!$C$132:$G$132</definedName>
    <definedName name="GetCFData4PA2.cfm?BU_0_SpeedKey_0_134" localSheetId="3">'Web Links'!$C$133:$G$133</definedName>
    <definedName name="GetCFData4PA2.cfm?BU_0_SpeedKey_0_135" localSheetId="3">'Web Links'!$C$134:$G$134</definedName>
    <definedName name="GetCFData4PA2.cfm?BU_0_SpeedKey_0_136" localSheetId="3">'Web Links'!$C$135:$G$135</definedName>
    <definedName name="GetCFData4PA2.cfm?BU_0_SpeedKey_0_137" localSheetId="3">'Web Links'!$C$136:$G$136</definedName>
    <definedName name="GetCFData4PA2.cfm?BU_0_SpeedKey_0_138" localSheetId="3">'Web Links'!$C$137:$G$137</definedName>
    <definedName name="GetCFData4PA2.cfm?BU_0_SpeedKey_0_139" localSheetId="3">'Web Links'!$C$138:$G$138</definedName>
    <definedName name="GetCFData4PA2.cfm?BU_0_SpeedKey_0_14" localSheetId="3">'Web Links'!$C$13:$G$13</definedName>
    <definedName name="GetCFData4PA2.cfm?BU_0_SpeedKey_0_140" localSheetId="3">'Web Links'!$C$139:$G$139</definedName>
    <definedName name="GetCFData4PA2.cfm?BU_0_SpeedKey_0_141" localSheetId="3">'Web Links'!$C$140:$G$140</definedName>
    <definedName name="GetCFData4PA2.cfm?BU_0_SpeedKey_0_142" localSheetId="3">'Web Links'!$C$141:$G$141</definedName>
    <definedName name="GetCFData4PA2.cfm?BU_0_SpeedKey_0_143" localSheetId="3">'Web Links'!$C$142:$G$142</definedName>
    <definedName name="GetCFData4PA2.cfm?BU_0_SpeedKey_0_144" localSheetId="3">'Web Links'!$C$143:$G$143</definedName>
    <definedName name="GetCFData4PA2.cfm?BU_0_SpeedKey_0_145" localSheetId="3">'Web Links'!$C$144:$G$144</definedName>
    <definedName name="GetCFData4PA2.cfm?BU_0_SpeedKey_0_146" localSheetId="3">'Web Links'!$C$145:$G$145</definedName>
    <definedName name="GetCFData4PA2.cfm?BU_0_SpeedKey_0_147" localSheetId="3">'Web Links'!$C$146:$G$146</definedName>
    <definedName name="GetCFData4PA2.cfm?BU_0_SpeedKey_0_148" localSheetId="3">'Web Links'!$C$147:$G$147</definedName>
    <definedName name="GetCFData4PA2.cfm?BU_0_SpeedKey_0_149" localSheetId="3">'Web Links'!$C$148:$G$148</definedName>
    <definedName name="GetCFData4PA2.cfm?BU_0_SpeedKey_0_15" localSheetId="3">'Web Links'!$C$14:$G$14</definedName>
    <definedName name="GetCFData4PA2.cfm?BU_0_SpeedKey_0_150" localSheetId="3">'Web Links'!$C$149:$G$149</definedName>
    <definedName name="GetCFData4PA2.cfm?BU_0_SpeedKey_0_151" localSheetId="3">'Web Links'!$C$150:$G$150</definedName>
    <definedName name="GetCFData4PA2.cfm?BU_0_SpeedKey_0_152" localSheetId="3">'Web Links'!$C$151:$G$151</definedName>
    <definedName name="GetCFData4PA2.cfm?BU_0_SpeedKey_0_153" localSheetId="3">'Web Links'!$C$152:$G$152</definedName>
    <definedName name="GetCFData4PA2.cfm?BU_0_SpeedKey_0_154" localSheetId="3">'Web Links'!$C$153:$G$153</definedName>
    <definedName name="GetCFData4PA2.cfm?BU_0_SpeedKey_0_155" localSheetId="3">'Web Links'!$C$154:$G$154</definedName>
    <definedName name="GetCFData4PA2.cfm?BU_0_SpeedKey_0_156" localSheetId="3">'Web Links'!$C$155:$G$155</definedName>
    <definedName name="GetCFData4PA2.cfm?BU_0_SpeedKey_0_157" localSheetId="3">'Web Links'!$C$156:$G$156</definedName>
    <definedName name="GetCFData4PA2.cfm?BU_0_SpeedKey_0_158" localSheetId="3">'Web Links'!$C$157:$G$157</definedName>
    <definedName name="GetCFData4PA2.cfm?BU_0_SpeedKey_0_159" localSheetId="3">'Web Links'!$C$158:$G$158</definedName>
    <definedName name="GetCFData4PA2.cfm?BU_0_SpeedKey_0_16" localSheetId="3">'Web Links'!$C$15:$G$15</definedName>
    <definedName name="GetCFData4PA2.cfm?BU_0_SpeedKey_0_160" localSheetId="3">'Web Links'!$C$159:$G$159</definedName>
    <definedName name="GetCFData4PA2.cfm?BU_0_SpeedKey_0_161" localSheetId="3">'Web Links'!$C$160:$G$160</definedName>
    <definedName name="GetCFData4PA2.cfm?BU_0_SpeedKey_0_162" localSheetId="3">'Web Links'!$C$161:$G$161</definedName>
    <definedName name="GetCFData4PA2.cfm?BU_0_SpeedKey_0_163" localSheetId="3">'Web Links'!$C$162:$G$162</definedName>
    <definedName name="GetCFData4PA2.cfm?BU_0_SpeedKey_0_164" localSheetId="3">'Web Links'!$C$163:$G$163</definedName>
    <definedName name="GetCFData4PA2.cfm?BU_0_SpeedKey_0_165" localSheetId="3">'Web Links'!$C$164:$G$164</definedName>
    <definedName name="GetCFData4PA2.cfm?BU_0_SpeedKey_0_166" localSheetId="3">'Web Links'!$C$165:$G$165</definedName>
    <definedName name="GetCFData4PA2.cfm?BU_0_SpeedKey_0_167" localSheetId="3">'Web Links'!$C$166:$G$166</definedName>
    <definedName name="GetCFData4PA2.cfm?BU_0_SpeedKey_0_168" localSheetId="3">'Web Links'!$C$167:$G$167</definedName>
    <definedName name="GetCFData4PA2.cfm?BU_0_SpeedKey_0_169" localSheetId="3">'Web Links'!$C$168:$G$168</definedName>
    <definedName name="GetCFData4PA2.cfm?BU_0_SpeedKey_0_17" localSheetId="3">'Web Links'!$C$16:$G$16</definedName>
    <definedName name="GetCFData4PA2.cfm?BU_0_SpeedKey_0_170" localSheetId="3">'Web Links'!$C$169:$G$169</definedName>
    <definedName name="GetCFData4PA2.cfm?BU_0_SpeedKey_0_171" localSheetId="3">'Web Links'!$C$170:$G$170</definedName>
    <definedName name="GetCFData4PA2.cfm?BU_0_SpeedKey_0_172" localSheetId="3">'Web Links'!$C$171:$G$171</definedName>
    <definedName name="GetCFData4PA2.cfm?BU_0_SpeedKey_0_173" localSheetId="3">'Web Links'!$C$172:$G$172</definedName>
    <definedName name="GetCFData4PA2.cfm?BU_0_SpeedKey_0_174" localSheetId="3">'Web Links'!$C$173:$G$173</definedName>
    <definedName name="GetCFData4PA2.cfm?BU_0_SpeedKey_0_175" localSheetId="3">'Web Links'!$C$174:$G$174</definedName>
    <definedName name="GetCFData4PA2.cfm?BU_0_SpeedKey_0_176" localSheetId="3">'Web Links'!$C$175:$G$175</definedName>
    <definedName name="GetCFData4PA2.cfm?BU_0_SpeedKey_0_177" localSheetId="3">'Web Links'!$C$176:$G$176</definedName>
    <definedName name="GetCFData4PA2.cfm?BU_0_SpeedKey_0_178" localSheetId="3">'Web Links'!$C$177:$G$177</definedName>
    <definedName name="GetCFData4PA2.cfm?BU_0_SpeedKey_0_179" localSheetId="3">'Web Links'!$C$178:$G$178</definedName>
    <definedName name="GetCFData4PA2.cfm?BU_0_SpeedKey_0_18" localSheetId="3">'Web Links'!$C$17:$G$17</definedName>
    <definedName name="GetCFData4PA2.cfm?BU_0_SpeedKey_0_180" localSheetId="3">'Web Links'!$C$179:$G$179</definedName>
    <definedName name="GetCFData4PA2.cfm?BU_0_SpeedKey_0_181" localSheetId="3">'Web Links'!$C$180:$G$180</definedName>
    <definedName name="GetCFData4PA2.cfm?BU_0_SpeedKey_0_182" localSheetId="3">'Web Links'!$C$181:$G$181</definedName>
    <definedName name="GetCFData4PA2.cfm?BU_0_SpeedKey_0_183" localSheetId="3">'Web Links'!$C$182:$G$182</definedName>
    <definedName name="GetCFData4PA2.cfm?BU_0_SpeedKey_0_184" localSheetId="3">'Web Links'!$C$183:$G$183</definedName>
    <definedName name="GetCFData4PA2.cfm?BU_0_SpeedKey_0_185" localSheetId="3">'Web Links'!$C$184:$G$184</definedName>
    <definedName name="GetCFData4PA2.cfm?BU_0_SpeedKey_0_186" localSheetId="3">'Web Links'!$C$185:$G$185</definedName>
    <definedName name="GetCFData4PA2.cfm?BU_0_SpeedKey_0_187" localSheetId="3">'Web Links'!$C$186:$G$186</definedName>
    <definedName name="GetCFData4PA2.cfm?BU_0_SpeedKey_0_188" localSheetId="3">'Web Links'!$C$187:$G$187</definedName>
    <definedName name="GetCFData4PA2.cfm?BU_0_SpeedKey_0_189" localSheetId="3">'Web Links'!$C$188:$G$188</definedName>
    <definedName name="GetCFData4PA2.cfm?BU_0_SpeedKey_0_19" localSheetId="3">'Web Links'!$C$18:$G$18</definedName>
    <definedName name="GetCFData4PA2.cfm?BU_0_SpeedKey_0_190" localSheetId="3">'Web Links'!$C$189:$G$189</definedName>
    <definedName name="GetCFData4PA2.cfm?BU_0_SpeedKey_0_191" localSheetId="3">'Web Links'!$C$190:$G$190</definedName>
    <definedName name="GetCFData4PA2.cfm?BU_0_SpeedKey_0_192" localSheetId="3">'Web Links'!$C$191:$G$191</definedName>
    <definedName name="GetCFData4PA2.cfm?BU_0_SpeedKey_0_193" localSheetId="3">'Web Links'!$C$192:$G$192</definedName>
    <definedName name="GetCFData4PA2.cfm?BU_0_SpeedKey_0_194" localSheetId="3">'Web Links'!$C$193:$G$193</definedName>
    <definedName name="GetCFData4PA2.cfm?BU_0_SpeedKey_0_195" localSheetId="3">'Web Links'!$C$194:$G$194</definedName>
    <definedName name="GetCFData4PA2.cfm?BU_0_SpeedKey_0_196" localSheetId="3">'Web Links'!$C$195:$G$195</definedName>
    <definedName name="GetCFData4PA2.cfm?BU_0_SpeedKey_0_197" localSheetId="3">'Web Links'!$C$196:$G$196</definedName>
    <definedName name="GetCFData4PA2.cfm?BU_0_SpeedKey_0_198" localSheetId="3">'Web Links'!$C$197:$G$197</definedName>
    <definedName name="GetCFData4PA2.cfm?BU_0_SpeedKey_0_199" localSheetId="3">'Web Links'!$C$198:$G$198</definedName>
    <definedName name="GetCFData4PA2.cfm?BU_0_SpeedKey_0_20" localSheetId="3">'Web Links'!$C$19:$G$19</definedName>
    <definedName name="GetCFData4PA2.cfm?BU_0_SpeedKey_0_200" localSheetId="3">'Web Links'!$C$199:$G$199</definedName>
    <definedName name="GetCFData4PA2.cfm?BU_0_SpeedKey_0_201" localSheetId="3">'Web Links'!$C$200:$G$200</definedName>
    <definedName name="GetCFData4PA2.cfm?BU_0_SpeedKey_0_202" localSheetId="3">'Web Links'!$C$201:$G$201</definedName>
    <definedName name="GetCFData4PA2.cfm?BU_0_SpeedKey_0_203" localSheetId="3">'Web Links'!$C$202:$G$202</definedName>
    <definedName name="GetCFData4PA2.cfm?BU_0_SpeedKey_0_204" localSheetId="3">'Web Links'!$C$203:$G$203</definedName>
    <definedName name="GetCFData4PA2.cfm?BU_0_SpeedKey_0_205" localSheetId="3">'Web Links'!$C$204:$G$204</definedName>
    <definedName name="GetCFData4PA2.cfm?BU_0_SpeedKey_0_206" localSheetId="3">'Web Links'!$C$205:$G$205</definedName>
    <definedName name="GetCFData4PA2.cfm?BU_0_SpeedKey_0_207" localSheetId="3">'Web Links'!$C$206:$G$206</definedName>
    <definedName name="GetCFData4PA2.cfm?BU_0_SpeedKey_0_208" localSheetId="3">'Web Links'!$C$207:$G$207</definedName>
    <definedName name="GetCFData4PA2.cfm?BU_0_SpeedKey_0_209" localSheetId="3">'Web Links'!$C$208:$G$208</definedName>
    <definedName name="GetCFData4PA2.cfm?BU_0_SpeedKey_0_21" localSheetId="3">'Web Links'!$C$20:$G$20</definedName>
    <definedName name="GetCFData4PA2.cfm?BU_0_SpeedKey_0_210" localSheetId="3">'Web Links'!$C$209:$G$209</definedName>
    <definedName name="GetCFData4PA2.cfm?BU_0_SpeedKey_0_211" localSheetId="3">'Web Links'!$C$210:$G$210</definedName>
    <definedName name="GetCFData4PA2.cfm?BU_0_SpeedKey_0_212" localSheetId="3">'Web Links'!$C$211:$G$211</definedName>
    <definedName name="GetCFData4PA2.cfm?BU_0_SpeedKey_0_213" localSheetId="3">'Web Links'!$C$212:$G$212</definedName>
    <definedName name="GetCFData4PA2.cfm?BU_0_SpeedKey_0_214" localSheetId="3">'Web Links'!$C$213:$G$213</definedName>
    <definedName name="GetCFData4PA2.cfm?BU_0_SpeedKey_0_215" localSheetId="3">'Web Links'!$C$214:$G$214</definedName>
    <definedName name="GetCFData4PA2.cfm?BU_0_SpeedKey_0_216" localSheetId="3">'Web Links'!$C$215:$G$215</definedName>
    <definedName name="GetCFData4PA2.cfm?BU_0_SpeedKey_0_217" localSheetId="3">'Web Links'!$C$216:$G$216</definedName>
    <definedName name="GetCFData4PA2.cfm?BU_0_SpeedKey_0_218" localSheetId="3">'Web Links'!$C$217:$G$217</definedName>
    <definedName name="GetCFData4PA2.cfm?BU_0_SpeedKey_0_219" localSheetId="3">'Web Links'!$C$218:$G$218</definedName>
    <definedName name="GetCFData4PA2.cfm?BU_0_SpeedKey_0_22" localSheetId="3">'Web Links'!$C$21:$G$21</definedName>
    <definedName name="GetCFData4PA2.cfm?BU_0_SpeedKey_0_220" localSheetId="3">'Web Links'!$C$219:$G$219</definedName>
    <definedName name="GetCFData4PA2.cfm?BU_0_SpeedKey_0_221" localSheetId="3">'Web Links'!$C$220:$G$220</definedName>
    <definedName name="GetCFData4PA2.cfm?BU_0_SpeedKey_0_222" localSheetId="3">'Web Links'!$C$221:$G$221</definedName>
    <definedName name="GetCFData4PA2.cfm?BU_0_SpeedKey_0_223" localSheetId="3">'Web Links'!$C$222:$G$222</definedName>
    <definedName name="GetCFData4PA2.cfm?BU_0_SpeedKey_0_224" localSheetId="3">'Web Links'!$C$223:$G$223</definedName>
    <definedName name="GetCFData4PA2.cfm?BU_0_SpeedKey_0_225" localSheetId="3">'Web Links'!$C$224:$G$224</definedName>
    <definedName name="GetCFData4PA2.cfm?BU_0_SpeedKey_0_226" localSheetId="3">'Web Links'!$C$225:$G$225</definedName>
    <definedName name="GetCFData4PA2.cfm?BU_0_SpeedKey_0_227" localSheetId="3">'Web Links'!$C$226:$G$226</definedName>
    <definedName name="GetCFData4PA2.cfm?BU_0_SpeedKey_0_228" localSheetId="3">'Web Links'!$C$227:$G$227</definedName>
    <definedName name="GetCFData4PA2.cfm?BU_0_SpeedKey_0_229" localSheetId="3">'Web Links'!$C$228:$G$228</definedName>
    <definedName name="GetCFData4PA2.cfm?BU_0_SpeedKey_0_23" localSheetId="3">'Web Links'!$C$22:$G$22</definedName>
    <definedName name="GetCFData4PA2.cfm?BU_0_SpeedKey_0_230" localSheetId="3">'Web Links'!$C$229:$G$229</definedName>
    <definedName name="GetCFData4PA2.cfm?BU_0_SpeedKey_0_231" localSheetId="3">'Web Links'!$C$230:$G$230</definedName>
    <definedName name="GetCFData4PA2.cfm?BU_0_SpeedKey_0_232" localSheetId="3">'Web Links'!$C$231:$G$231</definedName>
    <definedName name="GetCFData4PA2.cfm?BU_0_SpeedKey_0_233" localSheetId="3">'Web Links'!$C$232:$G$232</definedName>
    <definedName name="GetCFData4PA2.cfm?BU_0_SpeedKey_0_234" localSheetId="3">'Web Links'!$C$233:$G$233</definedName>
    <definedName name="GetCFData4PA2.cfm?BU_0_SpeedKey_0_235" localSheetId="3">'Web Links'!$C$234:$G$234</definedName>
    <definedName name="GetCFData4PA2.cfm?BU_0_SpeedKey_0_236" localSheetId="3">'Web Links'!$C$235:$G$235</definedName>
    <definedName name="GetCFData4PA2.cfm?BU_0_SpeedKey_0_237" localSheetId="3">'Web Links'!$C$236:$G$236</definedName>
    <definedName name="GetCFData4PA2.cfm?BU_0_SpeedKey_0_238" localSheetId="3">'Web Links'!$C$237:$G$237</definedName>
    <definedName name="GetCFData4PA2.cfm?BU_0_SpeedKey_0_239" localSheetId="3">'Web Links'!$C$238:$G$238</definedName>
    <definedName name="GetCFData4PA2.cfm?BU_0_SpeedKey_0_24" localSheetId="3">'Web Links'!$C$23:$G$23</definedName>
    <definedName name="GetCFData4PA2.cfm?BU_0_SpeedKey_0_240" localSheetId="3">'Web Links'!$C$239:$G$239</definedName>
    <definedName name="GetCFData4PA2.cfm?BU_0_SpeedKey_0_241" localSheetId="3">'Web Links'!$C$240:$G$240</definedName>
    <definedName name="GetCFData4PA2.cfm?BU_0_SpeedKey_0_242" localSheetId="3">'Web Links'!$C$241:$G$241</definedName>
    <definedName name="GetCFData4PA2.cfm?BU_0_SpeedKey_0_243" localSheetId="3">'Web Links'!$C$242:$G$242</definedName>
    <definedName name="GetCFData4PA2.cfm?BU_0_SpeedKey_0_244" localSheetId="3">'Web Links'!$C$243:$G$243</definedName>
    <definedName name="GetCFData4PA2.cfm?BU_0_SpeedKey_0_245" localSheetId="3">'Web Links'!$C$244:$G$244</definedName>
    <definedName name="GetCFData4PA2.cfm?BU_0_SpeedKey_0_246" localSheetId="3">'Web Links'!$C$245:$G$245</definedName>
    <definedName name="GetCFData4PA2.cfm?BU_0_SpeedKey_0_247" localSheetId="3">'Web Links'!$C$246:$G$246</definedName>
    <definedName name="GetCFData4PA2.cfm?BU_0_SpeedKey_0_248" localSheetId="3">'Web Links'!$C$247:$G$247</definedName>
    <definedName name="GetCFData4PA2.cfm?BU_0_SpeedKey_0_249" localSheetId="3">'Web Links'!$C$248:$G$248</definedName>
    <definedName name="GetCFData4PA2.cfm?BU_0_SpeedKey_0_25" localSheetId="3">'Web Links'!$C$24:$G$24</definedName>
    <definedName name="GetCFData4PA2.cfm?BU_0_SpeedKey_0_250" localSheetId="3">'Web Links'!$C$249:$G$249</definedName>
    <definedName name="GetCFData4PA2.cfm?BU_0_SpeedKey_0_251" localSheetId="3">'Web Links'!$C$250:$G$250</definedName>
    <definedName name="GetCFData4PA2.cfm?BU_0_SpeedKey_0_252" localSheetId="3">'Web Links'!$C$251:$G$251</definedName>
    <definedName name="GetCFData4PA2.cfm?BU_0_SpeedKey_0_253" localSheetId="3">'Web Links'!$C$252:$G$252</definedName>
    <definedName name="GetCFData4PA2.cfm?BU_0_SpeedKey_0_254" localSheetId="3">'Web Links'!$C$253:$G$253</definedName>
    <definedName name="GetCFData4PA2.cfm?BU_0_SpeedKey_0_255" localSheetId="3">'Web Links'!$C$254:$G$254</definedName>
    <definedName name="GetCFData4PA2.cfm?BU_0_SpeedKey_0_256" localSheetId="3">'Web Links'!$C$255:$G$255</definedName>
    <definedName name="GetCFData4PA2.cfm?BU_0_SpeedKey_0_257" localSheetId="3">'Web Links'!$C$256:$G$256</definedName>
    <definedName name="GetCFData4PA2.cfm?BU_0_SpeedKey_0_258" localSheetId="3">'Web Links'!$C$257:$G$257</definedName>
    <definedName name="GetCFData4PA2.cfm?BU_0_SpeedKey_0_259" localSheetId="3">'Web Links'!$C$258:$G$258</definedName>
    <definedName name="GetCFData4PA2.cfm?BU_0_SpeedKey_0_26" localSheetId="3">'Web Links'!$C$25:$G$25</definedName>
    <definedName name="GetCFData4PA2.cfm?BU_0_SpeedKey_0_260" localSheetId="3">'Web Links'!$C$259:$G$259</definedName>
    <definedName name="GetCFData4PA2.cfm?BU_0_SpeedKey_0_261" localSheetId="3">'Web Links'!$C$260:$G$260</definedName>
    <definedName name="GetCFData4PA2.cfm?BU_0_SpeedKey_0_262" localSheetId="3">'Web Links'!$C$261:$G$261</definedName>
    <definedName name="GetCFData4PA2.cfm?BU_0_SpeedKey_0_263" localSheetId="3">'Web Links'!$C$262:$G$262</definedName>
    <definedName name="GetCFData4PA2.cfm?BU_0_SpeedKey_0_264" localSheetId="3">'Web Links'!$C$263:$G$263</definedName>
    <definedName name="GetCFData4PA2.cfm?BU_0_SpeedKey_0_265" localSheetId="3">'Web Links'!$C$264:$G$264</definedName>
    <definedName name="GetCFData4PA2.cfm?BU_0_SpeedKey_0_266" localSheetId="3">'Web Links'!$C$265:$G$265</definedName>
    <definedName name="GetCFData4PA2.cfm?BU_0_SpeedKey_0_267" localSheetId="3">'Web Links'!$C$266:$G$266</definedName>
    <definedName name="GetCFData4PA2.cfm?BU_0_SpeedKey_0_268" localSheetId="3">'Web Links'!$C$267:$G$267</definedName>
    <definedName name="GetCFData4PA2.cfm?BU_0_SpeedKey_0_269" localSheetId="3">'Web Links'!$C$268:$G$268</definedName>
    <definedName name="GetCFData4PA2.cfm?BU_0_SpeedKey_0_27" localSheetId="3">'Web Links'!$C$26:$G$26</definedName>
    <definedName name="GetCFData4PA2.cfm?BU_0_SpeedKey_0_270" localSheetId="3">'Web Links'!$C$269:$G$269</definedName>
    <definedName name="GetCFData4PA2.cfm?BU_0_SpeedKey_0_271" localSheetId="3">'Web Links'!$C$270:$G$270</definedName>
    <definedName name="GetCFData4PA2.cfm?BU_0_SpeedKey_0_272" localSheetId="3">'Web Links'!$C$271:$G$271</definedName>
    <definedName name="GetCFData4PA2.cfm?BU_0_SpeedKey_0_273" localSheetId="3">'Web Links'!$C$272:$G$272</definedName>
    <definedName name="GetCFData4PA2.cfm?BU_0_SpeedKey_0_274" localSheetId="3">'Web Links'!$C$273:$G$273</definedName>
    <definedName name="GetCFData4PA2.cfm?BU_0_SpeedKey_0_275" localSheetId="3">'Web Links'!$C$274:$G$274</definedName>
    <definedName name="GetCFData4PA2.cfm?BU_0_SpeedKey_0_276" localSheetId="3">'Web Links'!$C$275:$G$275</definedName>
    <definedName name="GetCFData4PA2.cfm?BU_0_SpeedKey_0_277" localSheetId="3">'Web Links'!$C$276:$G$276</definedName>
    <definedName name="GetCFData4PA2.cfm?BU_0_SpeedKey_0_278" localSheetId="3">'Web Links'!$C$277:$G$277</definedName>
    <definedName name="GetCFData4PA2.cfm?BU_0_SpeedKey_0_279" localSheetId="3">'Web Links'!$C$278:$G$278</definedName>
    <definedName name="GetCFData4PA2.cfm?BU_0_SpeedKey_0_28" localSheetId="3">'Web Links'!$C$27:$G$27</definedName>
    <definedName name="GetCFData4PA2.cfm?BU_0_SpeedKey_0_280" localSheetId="3">'Web Links'!$C$279:$G$279</definedName>
    <definedName name="GetCFData4PA2.cfm?BU_0_SpeedKey_0_281" localSheetId="3">'Web Links'!$C$280:$G$280</definedName>
    <definedName name="GetCFData4PA2.cfm?BU_0_SpeedKey_0_282" localSheetId="3">'Web Links'!$C$281:$G$281</definedName>
    <definedName name="GetCFData4PA2.cfm?BU_0_SpeedKey_0_283" localSheetId="3">'Web Links'!$C$282:$G$282</definedName>
    <definedName name="GetCFData4PA2.cfm?BU_0_SpeedKey_0_284" localSheetId="3">'Web Links'!$C$283:$G$283</definedName>
    <definedName name="GetCFData4PA2.cfm?BU_0_SpeedKey_0_285" localSheetId="3">'Web Links'!$C$284:$G$284</definedName>
    <definedName name="GetCFData4PA2.cfm?BU_0_SpeedKey_0_286" localSheetId="3">'Web Links'!$C$285:$G$285</definedName>
    <definedName name="GetCFData4PA2.cfm?BU_0_SpeedKey_0_287" localSheetId="3">'Web Links'!$C$286:$G$286</definedName>
    <definedName name="GetCFData4PA2.cfm?BU_0_SpeedKey_0_288" localSheetId="3">'Web Links'!$C$287:$G$287</definedName>
    <definedName name="GetCFData4PA2.cfm?BU_0_SpeedKey_0_289" localSheetId="3">'Web Links'!$C$288:$G$288</definedName>
    <definedName name="GetCFData4PA2.cfm?BU_0_SpeedKey_0_29" localSheetId="3">'Web Links'!$C$28:$G$28</definedName>
    <definedName name="GetCFData4PA2.cfm?BU_0_SpeedKey_0_290" localSheetId="3">'Web Links'!$C$289:$G$289</definedName>
    <definedName name="GetCFData4PA2.cfm?BU_0_SpeedKey_0_291" localSheetId="3">'Web Links'!$C$290:$G$290</definedName>
    <definedName name="GetCFData4PA2.cfm?BU_0_SpeedKey_0_292" localSheetId="3">'Web Links'!$C$291:$G$291</definedName>
    <definedName name="GetCFData4PA2.cfm?BU_0_SpeedKey_0_293" localSheetId="3">'Web Links'!$C$292:$G$292</definedName>
    <definedName name="GetCFData4PA2.cfm?BU_0_SpeedKey_0_294" localSheetId="3">'Web Links'!$C$293:$G$293</definedName>
    <definedName name="GetCFData4PA2.cfm?BU_0_SpeedKey_0_295" localSheetId="3">'Web Links'!$C$294:$G$294</definedName>
    <definedName name="GetCFData4PA2.cfm?BU_0_SpeedKey_0_296" localSheetId="3">'Web Links'!$C$295:$G$295</definedName>
    <definedName name="GetCFData4PA2.cfm?BU_0_SpeedKey_0_297" localSheetId="3">'Web Links'!$C$296:$G$296</definedName>
    <definedName name="GetCFData4PA2.cfm?BU_0_SpeedKey_0_298" localSheetId="3">'Web Links'!$C$297:$G$297</definedName>
    <definedName name="GetCFData4PA2.cfm?BU_0_SpeedKey_0_299" localSheetId="3">'Web Links'!$C$298:$G$298</definedName>
    <definedName name="GetCFData4PA2.cfm?BU_0_SpeedKey_0_30" localSheetId="3">'Web Links'!$C$29:$G$29</definedName>
    <definedName name="GetCFData4PA2.cfm?BU_0_SpeedKey_0_300" localSheetId="3">'Web Links'!$C$299:$G$299</definedName>
    <definedName name="GetCFData4PA2.cfm?BU_0_SpeedKey_0_301" localSheetId="3">'Web Links'!$C$300:$G$300</definedName>
    <definedName name="GetCFData4PA2.cfm?BU_0_SpeedKey_0_302" localSheetId="3">'Web Links'!$C$301:$G$301</definedName>
    <definedName name="GetCFData4PA2.cfm?BU_0_SpeedKey_0_303" localSheetId="3">'Web Links'!$C$302:$G$302</definedName>
    <definedName name="GetCFData4PA2.cfm?BU_0_SpeedKey_0_304" localSheetId="3">'Web Links'!$C$303:$G$303</definedName>
    <definedName name="GetCFData4PA2.cfm?BU_0_SpeedKey_0_305" localSheetId="3">'Web Links'!$C$304:$G$304</definedName>
    <definedName name="GetCFData4PA2.cfm?BU_0_SpeedKey_0_306" localSheetId="3">'Web Links'!$C$305:$G$305</definedName>
    <definedName name="GetCFData4PA2.cfm?BU_0_SpeedKey_0_307" localSheetId="3">'Web Links'!$C$306:$G$306</definedName>
    <definedName name="GetCFData4PA2.cfm?BU_0_SpeedKey_0_308" localSheetId="3">'Web Links'!$C$307:$G$307</definedName>
    <definedName name="GetCFData4PA2.cfm?BU_0_SpeedKey_0_309" localSheetId="3">'Web Links'!$C$308:$G$308</definedName>
    <definedName name="GetCFData4PA2.cfm?BU_0_SpeedKey_0_31" localSheetId="3">'Web Links'!$C$30:$G$30</definedName>
    <definedName name="GetCFData4PA2.cfm?BU_0_SpeedKey_0_310" localSheetId="3">'Web Links'!$C$309:$G$309</definedName>
    <definedName name="GetCFData4PA2.cfm?BU_0_SpeedKey_0_311" localSheetId="3">'Web Links'!$C$310:$G$310</definedName>
    <definedName name="GetCFData4PA2.cfm?BU_0_SpeedKey_0_312" localSheetId="3">'Web Links'!$C$311:$G$311</definedName>
    <definedName name="GetCFData4PA2.cfm?BU_0_SpeedKey_0_313" localSheetId="3">'Web Links'!$C$312:$G$312</definedName>
    <definedName name="GetCFData4PA2.cfm?BU_0_SpeedKey_0_314" localSheetId="3">'Web Links'!$C$313:$G$313</definedName>
    <definedName name="GetCFData4PA2.cfm?BU_0_SpeedKey_0_315" localSheetId="3">'Web Links'!$C$314:$G$314</definedName>
    <definedName name="GetCFData4PA2.cfm?BU_0_SpeedKey_0_316" localSheetId="3">'Web Links'!$C$315:$G$315</definedName>
    <definedName name="GetCFData4PA2.cfm?BU_0_SpeedKey_0_317" localSheetId="3">'Web Links'!$C$316:$G$316</definedName>
    <definedName name="GetCFData4PA2.cfm?BU_0_SpeedKey_0_318" localSheetId="3">'Web Links'!$C$317:$G$317</definedName>
    <definedName name="GetCFData4PA2.cfm?BU_0_SpeedKey_0_319" localSheetId="3">'Web Links'!$C$318:$G$318</definedName>
    <definedName name="GetCFData4PA2.cfm?BU_0_SpeedKey_0_32" localSheetId="3">'Web Links'!$C$31:$G$31</definedName>
    <definedName name="GetCFData4PA2.cfm?BU_0_SpeedKey_0_320" localSheetId="3">'Web Links'!$C$319:$G$319</definedName>
    <definedName name="GetCFData4PA2.cfm?BU_0_SpeedKey_0_321" localSheetId="3">'Web Links'!$C$320:$G$320</definedName>
    <definedName name="GetCFData4PA2.cfm?BU_0_SpeedKey_0_322" localSheetId="3">'Web Links'!$C$321:$G$321</definedName>
    <definedName name="GetCFData4PA2.cfm?BU_0_SpeedKey_0_323" localSheetId="3">'Web Links'!$C$322:$G$322</definedName>
    <definedName name="GetCFData4PA2.cfm?BU_0_SpeedKey_0_324" localSheetId="3">'Web Links'!$C$323:$G$323</definedName>
    <definedName name="GetCFData4PA2.cfm?BU_0_SpeedKey_0_325" localSheetId="3">'Web Links'!$C$324:$G$324</definedName>
    <definedName name="GetCFData4PA2.cfm?BU_0_SpeedKey_0_326" localSheetId="3">'Web Links'!$C$325:$G$325</definedName>
    <definedName name="GetCFData4PA2.cfm?BU_0_SpeedKey_0_327" localSheetId="3">'Web Links'!$C$326:$G$326</definedName>
    <definedName name="GetCFData4PA2.cfm?BU_0_SpeedKey_0_328" localSheetId="3">'Web Links'!$C$327:$G$327</definedName>
    <definedName name="GetCFData4PA2.cfm?BU_0_SpeedKey_0_329" localSheetId="3">'Web Links'!$C$328:$G$328</definedName>
    <definedName name="GetCFData4PA2.cfm?BU_0_SpeedKey_0_33" localSheetId="3">'Web Links'!$C$32:$G$32</definedName>
    <definedName name="GetCFData4PA2.cfm?BU_0_SpeedKey_0_330" localSheetId="3">'Web Links'!$C$329:$G$329</definedName>
    <definedName name="GetCFData4PA2.cfm?BU_0_SpeedKey_0_331" localSheetId="3">'Web Links'!$C$330:$G$330</definedName>
    <definedName name="GetCFData4PA2.cfm?BU_0_SpeedKey_0_332" localSheetId="3">'Web Links'!$C$331:$G$331</definedName>
    <definedName name="GetCFData4PA2.cfm?BU_0_SpeedKey_0_333" localSheetId="3">'Web Links'!$C$332:$G$332</definedName>
    <definedName name="GetCFData4PA2.cfm?BU_0_SpeedKey_0_334" localSheetId="3">'Web Links'!$C$333:$G$333</definedName>
    <definedName name="GetCFData4PA2.cfm?BU_0_SpeedKey_0_335" localSheetId="3">'Web Links'!$C$334:$G$334</definedName>
    <definedName name="GetCFData4PA2.cfm?BU_0_SpeedKey_0_336" localSheetId="3">'Web Links'!$C$335:$G$335</definedName>
    <definedName name="GetCFData4PA2.cfm?BU_0_SpeedKey_0_337" localSheetId="3">'Web Links'!$C$336:$G$336</definedName>
    <definedName name="GetCFData4PA2.cfm?BU_0_SpeedKey_0_338" localSheetId="3">'Web Links'!$C$337:$G$337</definedName>
    <definedName name="GetCFData4PA2.cfm?BU_0_SpeedKey_0_339" localSheetId="3">'Web Links'!$C$338:$G$338</definedName>
    <definedName name="GetCFData4PA2.cfm?BU_0_SpeedKey_0_34" localSheetId="3">'Web Links'!$C$33:$G$33</definedName>
    <definedName name="GetCFData4PA2.cfm?BU_0_SpeedKey_0_340" localSheetId="3">'Web Links'!$C$339:$G$339</definedName>
    <definedName name="GetCFData4PA2.cfm?BU_0_SpeedKey_0_341" localSheetId="3">'Web Links'!$C$340:$G$340</definedName>
    <definedName name="GetCFData4PA2.cfm?BU_0_SpeedKey_0_342" localSheetId="3">'Web Links'!$C$341:$G$341</definedName>
    <definedName name="GetCFData4PA2.cfm?BU_0_SpeedKey_0_343" localSheetId="3">'Web Links'!$C$342:$G$342</definedName>
    <definedName name="GetCFData4PA2.cfm?BU_0_SpeedKey_0_344" localSheetId="3">'Web Links'!$C$343:$G$343</definedName>
    <definedName name="GetCFData4PA2.cfm?BU_0_SpeedKey_0_345" localSheetId="3">'Web Links'!$C$344:$G$344</definedName>
    <definedName name="GetCFData4PA2.cfm?BU_0_SpeedKey_0_346" localSheetId="3">'Web Links'!$C$345:$G$345</definedName>
    <definedName name="GetCFData4PA2.cfm?BU_0_SpeedKey_0_347" localSheetId="3">'Web Links'!$C$346:$G$346</definedName>
    <definedName name="GetCFData4PA2.cfm?BU_0_SpeedKey_0_348" localSheetId="3">'Web Links'!$C$347:$G$347</definedName>
    <definedName name="GetCFData4PA2.cfm?BU_0_SpeedKey_0_349" localSheetId="3">'Web Links'!$C$348:$G$348</definedName>
    <definedName name="GetCFData4PA2.cfm?BU_0_SpeedKey_0_35" localSheetId="3">'Web Links'!$C$34:$G$34</definedName>
    <definedName name="GetCFData4PA2.cfm?BU_0_SpeedKey_0_350" localSheetId="3">'Web Links'!$C$349:$G$349</definedName>
    <definedName name="GetCFData4PA2.cfm?BU_0_SpeedKey_0_351" localSheetId="3">'Web Links'!$C$350:$G$350</definedName>
    <definedName name="GetCFData4PA2.cfm?BU_0_SpeedKey_0_352" localSheetId="3">'Web Links'!$C$351:$G$351</definedName>
    <definedName name="GetCFData4PA2.cfm?BU_0_SpeedKey_0_353" localSheetId="3">'Web Links'!$C$352:$G$352</definedName>
    <definedName name="GetCFData4PA2.cfm?BU_0_SpeedKey_0_354" localSheetId="3">'Web Links'!$C$353:$G$353</definedName>
    <definedName name="GetCFData4PA2.cfm?BU_0_SpeedKey_0_355" localSheetId="3">'Web Links'!$C$354:$G$354</definedName>
    <definedName name="GetCFData4PA2.cfm?BU_0_SpeedKey_0_356" localSheetId="3">'Web Links'!$C$355:$G$355</definedName>
    <definedName name="GetCFData4PA2.cfm?BU_0_SpeedKey_0_357" localSheetId="3">'Web Links'!$C$356:$G$356</definedName>
    <definedName name="GetCFData4PA2.cfm?BU_0_SpeedKey_0_358" localSheetId="3">'Web Links'!$C$357:$G$357</definedName>
    <definedName name="GetCFData4PA2.cfm?BU_0_SpeedKey_0_359" localSheetId="3">'Web Links'!$C$358:$G$358</definedName>
    <definedName name="GetCFData4PA2.cfm?BU_0_SpeedKey_0_36" localSheetId="3">'Web Links'!$C$35:$G$35</definedName>
    <definedName name="GetCFData4PA2.cfm?BU_0_SpeedKey_0_360" localSheetId="3">'Web Links'!$C$359:$G$359</definedName>
    <definedName name="GetCFData4PA2.cfm?BU_0_SpeedKey_0_361" localSheetId="3">'Web Links'!$C$360:$G$360</definedName>
    <definedName name="GetCFData4PA2.cfm?BU_0_SpeedKey_0_362" localSheetId="3">'Web Links'!$C$361:$G$361</definedName>
    <definedName name="GetCFData4PA2.cfm?BU_0_SpeedKey_0_363" localSheetId="3">'Web Links'!$C$362:$G$362</definedName>
    <definedName name="GetCFData4PA2.cfm?BU_0_SpeedKey_0_364" localSheetId="3">'Web Links'!$C$363:$G$363</definedName>
    <definedName name="GetCFData4PA2.cfm?BU_0_SpeedKey_0_365" localSheetId="3">'Web Links'!$C$364:$G$364</definedName>
    <definedName name="GetCFData4PA2.cfm?BU_0_SpeedKey_0_366" localSheetId="3">'Web Links'!$C$365:$G$365</definedName>
    <definedName name="GetCFData4PA2.cfm?BU_0_SpeedKey_0_367" localSheetId="3">'Web Links'!$C$366:$G$366</definedName>
    <definedName name="GetCFData4PA2.cfm?BU_0_SpeedKey_0_368" localSheetId="3">'Web Links'!$C$367:$G$367</definedName>
    <definedName name="GetCFData4PA2.cfm?BU_0_SpeedKey_0_369" localSheetId="3">'Web Links'!$C$368:$G$368</definedName>
    <definedName name="GetCFData4PA2.cfm?BU_0_SpeedKey_0_37" localSheetId="3">'Web Links'!$C$36:$G$36</definedName>
    <definedName name="GetCFData4PA2.cfm?BU_0_SpeedKey_0_370" localSheetId="3">'Web Links'!$C$369:$G$369</definedName>
    <definedName name="GetCFData4PA2.cfm?BU_0_SpeedKey_0_371" localSheetId="3">'Web Links'!$C$370:$G$370</definedName>
    <definedName name="GetCFData4PA2.cfm?BU_0_SpeedKey_0_372" localSheetId="3">'Web Links'!$C$371:$G$371</definedName>
    <definedName name="GetCFData4PA2.cfm?BU_0_SpeedKey_0_373" localSheetId="3">'Web Links'!$C$372:$G$372</definedName>
    <definedName name="GetCFData4PA2.cfm?BU_0_SpeedKey_0_374" localSheetId="3">'Web Links'!$C$373:$G$373</definedName>
    <definedName name="GetCFData4PA2.cfm?BU_0_SpeedKey_0_375" localSheetId="3">'Web Links'!$C$374:$G$374</definedName>
    <definedName name="GetCFData4PA2.cfm?BU_0_SpeedKey_0_376" localSheetId="3">'Web Links'!$C$375:$G$375</definedName>
    <definedName name="GetCFData4PA2.cfm?BU_0_SpeedKey_0_377" localSheetId="3">'Web Links'!$C$376:$G$376</definedName>
    <definedName name="GetCFData4PA2.cfm?BU_0_SpeedKey_0_378" localSheetId="3">'Web Links'!$C$377:$G$377</definedName>
    <definedName name="GetCFData4PA2.cfm?BU_0_SpeedKey_0_379" localSheetId="3">'Web Links'!$C$378:$G$378</definedName>
    <definedName name="GetCFData4PA2.cfm?BU_0_SpeedKey_0_38" localSheetId="3">'Web Links'!$C$37:$G$37</definedName>
    <definedName name="GetCFData4PA2.cfm?BU_0_SpeedKey_0_380" localSheetId="3">'Web Links'!$C$379:$G$379</definedName>
    <definedName name="GetCFData4PA2.cfm?BU_0_SpeedKey_0_381" localSheetId="3">'Web Links'!$C$380:$G$380</definedName>
    <definedName name="GetCFData4PA2.cfm?BU_0_SpeedKey_0_382" localSheetId="3">'Web Links'!$C$381:$G$381</definedName>
    <definedName name="GetCFData4PA2.cfm?BU_0_SpeedKey_0_383" localSheetId="3">'Web Links'!$C$382:$G$382</definedName>
    <definedName name="GetCFData4PA2.cfm?BU_0_SpeedKey_0_384" localSheetId="3">'Web Links'!$C$383:$G$383</definedName>
    <definedName name="GetCFData4PA2.cfm?BU_0_SpeedKey_0_385" localSheetId="3">'Web Links'!$C$384:$G$384</definedName>
    <definedName name="GetCFData4PA2.cfm?BU_0_SpeedKey_0_386" localSheetId="3">'Web Links'!$C$385:$G$385</definedName>
    <definedName name="GetCFData4PA2.cfm?BU_0_SpeedKey_0_387" localSheetId="3">'Web Links'!$C$386:$G$386</definedName>
    <definedName name="GetCFData4PA2.cfm?BU_0_SpeedKey_0_388" localSheetId="3">'Web Links'!$C$387:$G$387</definedName>
    <definedName name="GetCFData4PA2.cfm?BU_0_SpeedKey_0_389" localSheetId="3">'Web Links'!$C$388:$G$388</definedName>
    <definedName name="GetCFData4PA2.cfm?BU_0_SpeedKey_0_39" localSheetId="3">'Web Links'!$C$38:$G$38</definedName>
    <definedName name="GetCFData4PA2.cfm?BU_0_SpeedKey_0_390" localSheetId="3">'Web Links'!$C$389:$G$389</definedName>
    <definedName name="GetCFData4PA2.cfm?BU_0_SpeedKey_0_391" localSheetId="3">'Web Links'!$C$390:$G$390</definedName>
    <definedName name="GetCFData4PA2.cfm?BU_0_SpeedKey_0_392" localSheetId="3">'Web Links'!$C$391:$G$391</definedName>
    <definedName name="GetCFData4PA2.cfm?BU_0_SpeedKey_0_393" localSheetId="3">'Web Links'!$C$392:$G$392</definedName>
    <definedName name="GetCFData4PA2.cfm?BU_0_SpeedKey_0_394" localSheetId="3">'Web Links'!$C$393:$G$393</definedName>
    <definedName name="GetCFData4PA2.cfm?BU_0_SpeedKey_0_395" localSheetId="3">'Web Links'!$C$394:$G$394</definedName>
    <definedName name="GetCFData4PA2.cfm?BU_0_SpeedKey_0_396" localSheetId="3">'Web Links'!$C$395:$G$395</definedName>
    <definedName name="GetCFData4PA2.cfm?BU_0_SpeedKey_0_397" localSheetId="3">'Web Links'!$C$396:$G$396</definedName>
    <definedName name="GetCFData4PA2.cfm?BU_0_SpeedKey_0_398" localSheetId="3">'Web Links'!$C$397:$G$397</definedName>
    <definedName name="GetCFData4PA2.cfm?BU_0_SpeedKey_0_399" localSheetId="3">'Web Links'!$C$398:$G$398</definedName>
    <definedName name="GetCFData4PA2.cfm?BU_0_SpeedKey_0_40" localSheetId="3">'Web Links'!$C$39:$G$39</definedName>
    <definedName name="GetCFData4PA2.cfm?BU_0_SpeedKey_0_400" localSheetId="3">'Web Links'!$C$399:$G$399</definedName>
    <definedName name="GetCFData4PA2.cfm?BU_0_SpeedKey_0_401" localSheetId="3">'Web Links'!$C$400:$G$400</definedName>
    <definedName name="GetCFData4PA2.cfm?BU_0_SpeedKey_0_402" localSheetId="3">'Web Links'!$C$401:$G$401</definedName>
    <definedName name="GetCFData4PA2.cfm?BU_0_SpeedKey_0_403" localSheetId="3">'Web Links'!$C$402:$G$402</definedName>
    <definedName name="GetCFData4PA2.cfm?BU_0_SpeedKey_0_404" localSheetId="3">'Web Links'!$C$403:$G$403</definedName>
    <definedName name="GetCFData4PA2.cfm?BU_0_SpeedKey_0_405" localSheetId="3">'Web Links'!$C$404:$G$404</definedName>
    <definedName name="GetCFData4PA2.cfm?BU_0_SpeedKey_0_406" localSheetId="3">'Web Links'!$C$405:$G$405</definedName>
    <definedName name="GetCFData4PA2.cfm?BU_0_SpeedKey_0_407" localSheetId="3">'Web Links'!$C$406:$G$406</definedName>
    <definedName name="GetCFData4PA2.cfm?BU_0_SpeedKey_0_408" localSheetId="3">'Web Links'!$C$407:$G$407</definedName>
    <definedName name="GetCFData4PA2.cfm?BU_0_SpeedKey_0_409" localSheetId="3">'Web Links'!$C$408:$G$408</definedName>
    <definedName name="GetCFData4PA2.cfm?BU_0_SpeedKey_0_41" localSheetId="3">'Web Links'!$C$40:$G$40</definedName>
    <definedName name="GetCFData4PA2.cfm?BU_0_SpeedKey_0_410" localSheetId="3">'Web Links'!$C$409:$G$409</definedName>
    <definedName name="GetCFData4PA2.cfm?BU_0_SpeedKey_0_411" localSheetId="3">'Web Links'!$C$410:$G$410</definedName>
    <definedName name="GetCFData4PA2.cfm?BU_0_SpeedKey_0_412" localSheetId="3">'Web Links'!$C$411:$G$411</definedName>
    <definedName name="GetCFData4PA2.cfm?BU_0_SpeedKey_0_413" localSheetId="3">'Web Links'!$C$412:$G$412</definedName>
    <definedName name="GetCFData4PA2.cfm?BU_0_SpeedKey_0_414" localSheetId="3">'Web Links'!$C$413:$G$413</definedName>
    <definedName name="GetCFData4PA2.cfm?BU_0_SpeedKey_0_415" localSheetId="3">'Web Links'!$C$414:$G$414</definedName>
    <definedName name="GetCFData4PA2.cfm?BU_0_SpeedKey_0_416" localSheetId="3">'Web Links'!$C$415:$G$415</definedName>
    <definedName name="GetCFData4PA2.cfm?BU_0_SpeedKey_0_417" localSheetId="3">'Web Links'!$C$416:$G$416</definedName>
    <definedName name="GetCFData4PA2.cfm?BU_0_SpeedKey_0_418" localSheetId="3">'Web Links'!$C$417:$G$417</definedName>
    <definedName name="GetCFData4PA2.cfm?BU_0_SpeedKey_0_419" localSheetId="3">'Web Links'!$C$418:$G$418</definedName>
    <definedName name="GetCFData4PA2.cfm?BU_0_SpeedKey_0_42" localSheetId="3">'Web Links'!$C$41:$G$41</definedName>
    <definedName name="GetCFData4PA2.cfm?BU_0_SpeedKey_0_420" localSheetId="3">'Web Links'!$C$419:$G$419</definedName>
    <definedName name="GetCFData4PA2.cfm?BU_0_SpeedKey_0_421" localSheetId="3">'Web Links'!$C$420:$G$420</definedName>
    <definedName name="GetCFData4PA2.cfm?BU_0_SpeedKey_0_422" localSheetId="3">'Web Links'!$C$421:$G$421</definedName>
    <definedName name="GetCFData4PA2.cfm?BU_0_SpeedKey_0_423" localSheetId="3">'Web Links'!$C$422:$G$422</definedName>
    <definedName name="GetCFData4PA2.cfm?BU_0_SpeedKey_0_424" localSheetId="3">'Web Links'!$C$423:$G$423</definedName>
    <definedName name="GetCFData4PA2.cfm?BU_0_SpeedKey_0_425" localSheetId="3">'Web Links'!$C$424:$G$424</definedName>
    <definedName name="GetCFData4PA2.cfm?BU_0_SpeedKey_0_426" localSheetId="3">'Web Links'!$C$425:$G$425</definedName>
    <definedName name="GetCFData4PA2.cfm?BU_0_SpeedKey_0_427" localSheetId="3">'Web Links'!$C$426:$G$426</definedName>
    <definedName name="GetCFData4PA2.cfm?BU_0_SpeedKey_0_428" localSheetId="3">'Web Links'!$C$427:$G$427</definedName>
    <definedName name="GetCFData4PA2.cfm?BU_0_SpeedKey_0_429" localSheetId="3">'Web Links'!$C$428:$G$428</definedName>
    <definedName name="GetCFData4PA2.cfm?BU_0_SpeedKey_0_43" localSheetId="3">'Web Links'!$C$42:$G$42</definedName>
    <definedName name="GetCFData4PA2.cfm?BU_0_SpeedKey_0_430" localSheetId="3">'Web Links'!$C$429:$G$429</definedName>
    <definedName name="GetCFData4PA2.cfm?BU_0_SpeedKey_0_431" localSheetId="3">'Web Links'!$C$430:$G$430</definedName>
    <definedName name="GetCFData4PA2.cfm?BU_0_SpeedKey_0_432" localSheetId="3">'Web Links'!$C$431:$G$431</definedName>
    <definedName name="GetCFData4PA2.cfm?BU_0_SpeedKey_0_433" localSheetId="3">'Web Links'!$C$432:$G$432</definedName>
    <definedName name="GetCFData4PA2.cfm?BU_0_SpeedKey_0_434" localSheetId="3">'Web Links'!$C$433:$G$433</definedName>
    <definedName name="GetCFData4PA2.cfm?BU_0_SpeedKey_0_435" localSheetId="3">'Web Links'!$C$434:$G$434</definedName>
    <definedName name="GetCFData4PA2.cfm?BU_0_SpeedKey_0_436" localSheetId="3">'Web Links'!$C$435:$G$435</definedName>
    <definedName name="GetCFData4PA2.cfm?BU_0_SpeedKey_0_437" localSheetId="3">'Web Links'!$C$436:$G$436</definedName>
    <definedName name="GetCFData4PA2.cfm?BU_0_SpeedKey_0_438" localSheetId="3">'Web Links'!$C$437:$G$437</definedName>
    <definedName name="GetCFData4PA2.cfm?BU_0_SpeedKey_0_439" localSheetId="3">'Web Links'!$C$438:$G$438</definedName>
    <definedName name="GetCFData4PA2.cfm?BU_0_SpeedKey_0_44" localSheetId="3">'Web Links'!$C$43:$G$43</definedName>
    <definedName name="GetCFData4PA2.cfm?BU_0_SpeedKey_0_440" localSheetId="3">'Web Links'!$C$439:$G$439</definedName>
    <definedName name="GetCFData4PA2.cfm?BU_0_SpeedKey_0_441" localSheetId="3">'Web Links'!$C$440:$G$440</definedName>
    <definedName name="GetCFData4PA2.cfm?BU_0_SpeedKey_0_442" localSheetId="3">'Web Links'!$C$441:$G$441</definedName>
    <definedName name="GetCFData4PA2.cfm?BU_0_SpeedKey_0_443" localSheetId="3">'Web Links'!$C$442:$G$442</definedName>
    <definedName name="GetCFData4PA2.cfm?BU_0_SpeedKey_0_444" localSheetId="3">'Web Links'!$C$443:$G$443</definedName>
    <definedName name="GetCFData4PA2.cfm?BU_0_SpeedKey_0_445" localSheetId="3">'Web Links'!$C$444:$G$444</definedName>
    <definedName name="GetCFData4PA2.cfm?BU_0_SpeedKey_0_446" localSheetId="3">'Web Links'!$C$445:$G$445</definedName>
    <definedName name="GetCFData4PA2.cfm?BU_0_SpeedKey_0_447" localSheetId="3">'Web Links'!$C$446:$G$446</definedName>
    <definedName name="GetCFData4PA2.cfm?BU_0_SpeedKey_0_448" localSheetId="3">'Web Links'!$C$447:$G$447</definedName>
    <definedName name="GetCFData4PA2.cfm?BU_0_SpeedKey_0_449" localSheetId="3">'Web Links'!$C$448:$G$448</definedName>
    <definedName name="GetCFData4PA2.cfm?BU_0_SpeedKey_0_45" localSheetId="3">'Web Links'!$C$44:$G$44</definedName>
    <definedName name="GetCFData4PA2.cfm?BU_0_SpeedKey_0_450" localSheetId="3">'Web Links'!$C$449:$G$449</definedName>
    <definedName name="GetCFData4PA2.cfm?BU_0_SpeedKey_0_451" localSheetId="3">'Web Links'!$C$450:$G$450</definedName>
    <definedName name="GetCFData4PA2.cfm?BU_0_SpeedKey_0_452" localSheetId="3">'Web Links'!$C$451:$G$451</definedName>
    <definedName name="GetCFData4PA2.cfm?BU_0_SpeedKey_0_453" localSheetId="3">'Web Links'!$C$452:$G$452</definedName>
    <definedName name="GetCFData4PA2.cfm?BU_0_SpeedKey_0_454" localSheetId="3">'Web Links'!$C$453:$G$453</definedName>
    <definedName name="GetCFData4PA2.cfm?BU_0_SpeedKey_0_455" localSheetId="3">'Web Links'!$C$454:$G$454</definedName>
    <definedName name="GetCFData4PA2.cfm?BU_0_SpeedKey_0_456" localSheetId="3">'Web Links'!$C$455:$G$455</definedName>
    <definedName name="GetCFData4PA2.cfm?BU_0_SpeedKey_0_457" localSheetId="3">'Web Links'!$C$456:$G$456</definedName>
    <definedName name="GetCFData4PA2.cfm?BU_0_SpeedKey_0_458" localSheetId="3">'Web Links'!$C$457:$G$457</definedName>
    <definedName name="GetCFData4PA2.cfm?BU_0_SpeedKey_0_459" localSheetId="3">'Web Links'!$C$458:$G$458</definedName>
    <definedName name="GetCFData4PA2.cfm?BU_0_SpeedKey_0_46" localSheetId="3">'Web Links'!$C$45:$G$45</definedName>
    <definedName name="GetCFData4PA2.cfm?BU_0_SpeedKey_0_460" localSheetId="3">'Web Links'!$C$459:$G$459</definedName>
    <definedName name="GetCFData4PA2.cfm?BU_0_SpeedKey_0_461" localSheetId="3">'Web Links'!$C$460:$G$460</definedName>
    <definedName name="GetCFData4PA2.cfm?BU_0_SpeedKey_0_462" localSheetId="3">'Web Links'!$C$461:$G$461</definedName>
    <definedName name="GetCFData4PA2.cfm?BU_0_SpeedKey_0_463" localSheetId="3">'Web Links'!$C$462:$G$462</definedName>
    <definedName name="GetCFData4PA2.cfm?BU_0_SpeedKey_0_464" localSheetId="3">'Web Links'!$C$463:$G$463</definedName>
    <definedName name="GetCFData4PA2.cfm?BU_0_SpeedKey_0_465" localSheetId="3">'Web Links'!$C$464:$G$464</definedName>
    <definedName name="GetCFData4PA2.cfm?BU_0_SpeedKey_0_466" localSheetId="3">'Web Links'!$C$465:$G$465</definedName>
    <definedName name="GetCFData4PA2.cfm?BU_0_SpeedKey_0_467" localSheetId="3">'Web Links'!$C$466:$G$466</definedName>
    <definedName name="GetCFData4PA2.cfm?BU_0_SpeedKey_0_468" localSheetId="3">'Web Links'!$C$467:$G$467</definedName>
    <definedName name="GetCFData4PA2.cfm?BU_0_SpeedKey_0_469" localSheetId="3">'Web Links'!$C$468:$G$468</definedName>
    <definedName name="GetCFData4PA2.cfm?BU_0_SpeedKey_0_47" localSheetId="3">'Web Links'!$C$46:$G$46</definedName>
    <definedName name="GetCFData4PA2.cfm?BU_0_SpeedKey_0_470" localSheetId="3">'Web Links'!$C$469:$G$469</definedName>
    <definedName name="GetCFData4PA2.cfm?BU_0_SpeedKey_0_471" localSheetId="3">'Web Links'!$C$470:$G$470</definedName>
    <definedName name="GetCFData4PA2.cfm?BU_0_SpeedKey_0_472" localSheetId="3">'Web Links'!$C$471:$G$471</definedName>
    <definedName name="GetCFData4PA2.cfm?BU_0_SpeedKey_0_473" localSheetId="3">'Web Links'!$C$472:$G$472</definedName>
    <definedName name="GetCFData4PA2.cfm?BU_0_SpeedKey_0_474" localSheetId="3">'Web Links'!$C$473:$G$473</definedName>
    <definedName name="GetCFData4PA2.cfm?BU_0_SpeedKey_0_475" localSheetId="3">'Web Links'!$C$474:$G$474</definedName>
    <definedName name="GetCFData4PA2.cfm?BU_0_SpeedKey_0_476" localSheetId="3">'Web Links'!$C$475:$G$475</definedName>
    <definedName name="GetCFData4PA2.cfm?BU_0_SpeedKey_0_477" localSheetId="3">'Web Links'!$C$476:$G$476</definedName>
    <definedName name="GetCFData4PA2.cfm?BU_0_SpeedKey_0_478" localSheetId="3">'Web Links'!$C$477:$G$477</definedName>
    <definedName name="GetCFData4PA2.cfm?BU_0_SpeedKey_0_479" localSheetId="3">'Web Links'!$C$478:$G$478</definedName>
    <definedName name="GetCFData4PA2.cfm?BU_0_SpeedKey_0_48" localSheetId="3">'Web Links'!$C$47:$G$47</definedName>
    <definedName name="GetCFData4PA2.cfm?BU_0_SpeedKey_0_480" localSheetId="3">'Web Links'!$C$479:$G$479</definedName>
    <definedName name="GetCFData4PA2.cfm?BU_0_SpeedKey_0_481" localSheetId="3">'Web Links'!$C$480:$G$480</definedName>
    <definedName name="GetCFData4PA2.cfm?BU_0_SpeedKey_0_482" localSheetId="3">'Web Links'!$C$481:$G$481</definedName>
    <definedName name="GetCFData4PA2.cfm?BU_0_SpeedKey_0_483" localSheetId="3">'Web Links'!$C$482:$G$482</definedName>
    <definedName name="GetCFData4PA2.cfm?BU_0_SpeedKey_0_484" localSheetId="3">'Web Links'!$C$483:$G$483</definedName>
    <definedName name="GetCFData4PA2.cfm?BU_0_SpeedKey_0_485" localSheetId="3">'Web Links'!$C$484:$G$484</definedName>
    <definedName name="GetCFData4PA2.cfm?BU_0_SpeedKey_0_486" localSheetId="3">'Web Links'!$C$485:$G$485</definedName>
    <definedName name="GetCFData4PA2.cfm?BU_0_SpeedKey_0_487" localSheetId="3">'Web Links'!$C$486:$G$486</definedName>
    <definedName name="GetCFData4PA2.cfm?BU_0_SpeedKey_0_488" localSheetId="3">'Web Links'!$C$487:$G$487</definedName>
    <definedName name="GetCFData4PA2.cfm?BU_0_SpeedKey_0_489" localSheetId="3">'Web Links'!$C$488:$G$488</definedName>
    <definedName name="GetCFData4PA2.cfm?BU_0_SpeedKey_0_49" localSheetId="3">'Web Links'!$C$48:$G$48</definedName>
    <definedName name="GetCFData4PA2.cfm?BU_0_SpeedKey_0_490" localSheetId="3">'Web Links'!$C$489:$G$489</definedName>
    <definedName name="GetCFData4PA2.cfm?BU_0_SpeedKey_0_491" localSheetId="3">'Web Links'!$C$490:$G$490</definedName>
    <definedName name="GetCFData4PA2.cfm?BU_0_SpeedKey_0_492" localSheetId="3">'Web Links'!$C$491:$G$491</definedName>
    <definedName name="GetCFData4PA2.cfm?BU_0_SpeedKey_0_493" localSheetId="3">'Web Links'!$C$492:$G$492</definedName>
    <definedName name="GetCFData4PA2.cfm?BU_0_SpeedKey_0_494" localSheetId="3">'Web Links'!$C$493:$G$493</definedName>
    <definedName name="GetCFData4PA2.cfm?BU_0_SpeedKey_0_495" localSheetId="3">'Web Links'!$C$494:$G$494</definedName>
    <definedName name="GetCFData4PA2.cfm?BU_0_SpeedKey_0_496" localSheetId="3">'Web Links'!$C$495:$G$495</definedName>
    <definedName name="GetCFData4PA2.cfm?BU_0_SpeedKey_0_497" localSheetId="3">'Web Links'!$C$496:$G$496</definedName>
    <definedName name="GetCFData4PA2.cfm?BU_0_SpeedKey_0_498" localSheetId="3">'Web Links'!$C$497:$G$497</definedName>
    <definedName name="GetCFData4PA2.cfm?BU_0_SpeedKey_0_499" localSheetId="3">'Web Links'!$C$498:$G$498</definedName>
    <definedName name="GetCFData4PA2.cfm?BU_0_SpeedKey_0_5" localSheetId="3">'Web Links'!$C$4:$G$4</definedName>
    <definedName name="GetCFData4PA2.cfm?BU_0_SpeedKey_0_50" localSheetId="3">'Web Links'!$C$49:$G$49</definedName>
    <definedName name="GetCFData4PA2.cfm?BU_0_SpeedKey_0_500" localSheetId="3">'Web Links'!$C$499:$G$499</definedName>
    <definedName name="GetCFData4PA2.cfm?BU_0_SpeedKey_0_501" localSheetId="3">'Web Links'!$C$500:$G$500</definedName>
    <definedName name="GetCFData4PA2.cfm?BU_0_SpeedKey_0_502" localSheetId="3">'Web Links'!$C$501:$G$501</definedName>
    <definedName name="GetCFData4PA2.cfm?BU_0_SpeedKey_0_503" localSheetId="3">'Web Links'!$C$502:$G$502</definedName>
    <definedName name="GetCFData4PA2.cfm?BU_0_SpeedKey_0_504" localSheetId="3">'Web Links'!$C$503:$G$503</definedName>
    <definedName name="GetCFData4PA2.cfm?BU_0_SpeedKey_0_51" localSheetId="3">'Web Links'!$C$50:$G$50</definedName>
    <definedName name="GetCFData4PA2.cfm?BU_0_SpeedKey_0_52" localSheetId="3">'Web Links'!$C$51:$G$51</definedName>
    <definedName name="GetCFData4PA2.cfm?BU_0_SpeedKey_0_53" localSheetId="3">'Web Links'!$C$52:$G$52</definedName>
    <definedName name="GetCFData4PA2.cfm?BU_0_SpeedKey_0_54" localSheetId="3">'Web Links'!$C$53:$G$53</definedName>
    <definedName name="GetCFData4PA2.cfm?BU_0_SpeedKey_0_55" localSheetId="3">'Web Links'!$C$54:$G$54</definedName>
    <definedName name="GetCFData4PA2.cfm?BU_0_SpeedKey_0_56" localSheetId="3">'Web Links'!$C$55:$G$55</definedName>
    <definedName name="GetCFData4PA2.cfm?BU_0_SpeedKey_0_57" localSheetId="3">'Web Links'!$C$56:$G$56</definedName>
    <definedName name="GetCFData4PA2.cfm?BU_0_SpeedKey_0_58" localSheetId="3">'Web Links'!$C$57:$G$57</definedName>
    <definedName name="GetCFData4PA2.cfm?BU_0_SpeedKey_0_59" localSheetId="3">'Web Links'!$C$58:$G$58</definedName>
    <definedName name="GetCFData4PA2.cfm?BU_0_SpeedKey_0_6" localSheetId="3">'Web Links'!$C$5:$G$5</definedName>
    <definedName name="GetCFData4PA2.cfm?BU_0_SpeedKey_0_60" localSheetId="3">'Web Links'!$C$59:$G$59</definedName>
    <definedName name="GetCFData4PA2.cfm?BU_0_SpeedKey_0_61" localSheetId="3">'Web Links'!$C$60:$G$60</definedName>
    <definedName name="GetCFData4PA2.cfm?BU_0_SpeedKey_0_62" localSheetId="3">'Web Links'!$C$61:$G$61</definedName>
    <definedName name="GetCFData4PA2.cfm?BU_0_SpeedKey_0_63" localSheetId="3">'Web Links'!$C$62:$G$62</definedName>
    <definedName name="GetCFData4PA2.cfm?BU_0_SpeedKey_0_64" localSheetId="3">'Web Links'!$C$63:$G$63</definedName>
    <definedName name="GetCFData4PA2.cfm?BU_0_SpeedKey_0_65" localSheetId="3">'Web Links'!$C$64:$G$64</definedName>
    <definedName name="GetCFData4PA2.cfm?BU_0_SpeedKey_0_66" localSheetId="3">'Web Links'!$C$65:$G$65</definedName>
    <definedName name="GetCFData4PA2.cfm?BU_0_SpeedKey_0_67" localSheetId="3">'Web Links'!$C$66:$G$66</definedName>
    <definedName name="GetCFData4PA2.cfm?BU_0_SpeedKey_0_68" localSheetId="3">'Web Links'!$C$67:$G$67</definedName>
    <definedName name="GetCFData4PA2.cfm?BU_0_SpeedKey_0_69" localSheetId="3">'Web Links'!$C$68:$G$68</definedName>
    <definedName name="GetCFData4PA2.cfm?BU_0_SpeedKey_0_7" localSheetId="3">'Web Links'!$C$6:$G$6</definedName>
    <definedName name="GetCFData4PA2.cfm?BU_0_SpeedKey_0_70" localSheetId="3">'Web Links'!$C$69:$G$69</definedName>
    <definedName name="GetCFData4PA2.cfm?BU_0_SpeedKey_0_71" localSheetId="3">'Web Links'!$C$70:$G$70</definedName>
    <definedName name="GetCFData4PA2.cfm?BU_0_SpeedKey_0_72" localSheetId="3">'Web Links'!$C$71:$G$71</definedName>
    <definedName name="GetCFData4PA2.cfm?BU_0_SpeedKey_0_73" localSheetId="3">'Web Links'!$C$72:$G$72</definedName>
    <definedName name="GetCFData4PA2.cfm?BU_0_SpeedKey_0_74" localSheetId="3">'Web Links'!$C$73:$G$73</definedName>
    <definedName name="GetCFData4PA2.cfm?BU_0_SpeedKey_0_75" localSheetId="3">'Web Links'!$C$74:$G$74</definedName>
    <definedName name="GetCFData4PA2.cfm?BU_0_SpeedKey_0_76" localSheetId="3">'Web Links'!$C$75:$G$75</definedName>
    <definedName name="GetCFData4PA2.cfm?BU_0_SpeedKey_0_77" localSheetId="3">'Web Links'!$C$76:$G$76</definedName>
    <definedName name="GetCFData4PA2.cfm?BU_0_SpeedKey_0_78" localSheetId="3">'Web Links'!$C$77:$G$77</definedName>
    <definedName name="GetCFData4PA2.cfm?BU_0_SpeedKey_0_79" localSheetId="3">'Web Links'!$C$78:$G$78</definedName>
    <definedName name="GetCFData4PA2.cfm?BU_0_SpeedKey_0_8" localSheetId="3">'Web Links'!$C$7:$G$7</definedName>
    <definedName name="GetCFData4PA2.cfm?BU_0_SpeedKey_0_80" localSheetId="3">'Web Links'!$C$79:$G$79</definedName>
    <definedName name="GetCFData4PA2.cfm?BU_0_SpeedKey_0_81" localSheetId="3">'Web Links'!$C$80:$G$80</definedName>
    <definedName name="GetCFData4PA2.cfm?BU_0_SpeedKey_0_82" localSheetId="3">'Web Links'!$C$81:$G$81</definedName>
    <definedName name="GetCFData4PA2.cfm?BU_0_SpeedKey_0_83" localSheetId="3">'Web Links'!$C$82:$G$82</definedName>
    <definedName name="GetCFData4PA2.cfm?BU_0_SpeedKey_0_84" localSheetId="3">'Web Links'!$C$83:$G$83</definedName>
    <definedName name="GetCFData4PA2.cfm?BU_0_SpeedKey_0_85" localSheetId="3">'Web Links'!$C$84:$G$84</definedName>
    <definedName name="GetCFData4PA2.cfm?BU_0_SpeedKey_0_86" localSheetId="3">'Web Links'!$C$85:$G$85</definedName>
    <definedName name="GetCFData4PA2.cfm?BU_0_SpeedKey_0_87" localSheetId="3">'Web Links'!$C$86:$G$86</definedName>
    <definedName name="GetCFData4PA2.cfm?BU_0_SpeedKey_0_88" localSheetId="3">'Web Links'!$C$87:$G$87</definedName>
    <definedName name="GetCFData4PA2.cfm?BU_0_SpeedKey_0_89" localSheetId="3">'Web Links'!$C$88:$G$88</definedName>
    <definedName name="GetCFData4PA2.cfm?BU_0_SpeedKey_0_9" localSheetId="3">'Web Links'!$C$8:$G$8</definedName>
    <definedName name="GetCFData4PA2.cfm?BU_0_SpeedKey_0_90" localSheetId="3">'Web Links'!$C$89:$G$89</definedName>
    <definedName name="GetCFData4PA2.cfm?BU_0_SpeedKey_0_91" localSheetId="3">'Web Links'!$C$90:$G$90</definedName>
    <definedName name="GetCFData4PA2.cfm?BU_0_SpeedKey_0_92" localSheetId="3">'Web Links'!$C$91:$G$91</definedName>
    <definedName name="GetCFData4PA2.cfm?BU_0_SpeedKey_0_93" localSheetId="3">'Web Links'!$C$92:$G$92</definedName>
    <definedName name="GetCFData4PA2.cfm?BU_0_SpeedKey_0_94" localSheetId="3">'Web Links'!$C$93:$G$93</definedName>
    <definedName name="GetCFData4PA2.cfm?BU_0_SpeedKey_0_95" localSheetId="3">'Web Links'!$C$94:$G$94</definedName>
    <definedName name="GetCFData4PA2.cfm?BU_0_SpeedKey_0_96" localSheetId="3">'Web Links'!$C$95:$G$95</definedName>
    <definedName name="GetCFData4PA2.cfm?BU_0_SpeedKey_0_97" localSheetId="3">'Web Links'!$C$96:$G$96</definedName>
    <definedName name="GetCFData4PA2.cfm?BU_0_SpeedKey_0_98" localSheetId="3">'Web Links'!$C$97:$G$97</definedName>
    <definedName name="GetCFData4PA2.cfm?BU_0_SpeedKey_0_99" localSheetId="3">'Web Links'!$C$98:$G$98</definedName>
    <definedName name="IB_CURRENT_ENDPOINT">SOAP!$B$5</definedName>
    <definedName name="IB_CURRENT_HOST">SOAP!$B$4</definedName>
    <definedName name="IB_CURRENT_URL">SOAP!$B$3</definedName>
    <definedName name="IB_ENDPOINT" localSheetId="5">SOAP!$B$20:$B$24</definedName>
    <definedName name="IB_HOST" localSheetId="5">SOAP!$B$14:$B$18</definedName>
    <definedName name="IB_INSTANCE_DESCRIPTION">SOAP!$B$2</definedName>
    <definedName name="IB_URL" localSheetId="5">SOAP!$B$8:$B$12</definedName>
    <definedName name="JrnlLn1">'GL Template'!$A$16:$A$515</definedName>
    <definedName name="Ledger">'Drop Downs'!$AD$1:$AD$2</definedName>
    <definedName name="Ledger_List">'Drop Downs'!$AD$1:$AD$2</definedName>
    <definedName name="Line">'GL Template'!$C$16:$C$515</definedName>
    <definedName name="Line_BU">'GL Template'!$B$16:$B$515</definedName>
    <definedName name="Line_Descr">'GL Template'!$L$16:$L$515</definedName>
    <definedName name="Line_Desrc">'GL Template'!$L$16:$L$515</definedName>
    <definedName name="LineBU1">'GL Template'!$B$16:$B$515</definedName>
    <definedName name="Monetary_Amount">'GL Template'!$K$16:$K$515</definedName>
    <definedName name="MonetaryAmount">'GL Template'!$K$16:$K$515</definedName>
    <definedName name="MonetaryAmount1">'GL Template'!$K$16:$K$515</definedName>
    <definedName name="Net_Debits_Credits">'GL Template'!$M$13</definedName>
    <definedName name="OLE_LINK1" localSheetId="4">'Drop Downs'!$A$9</definedName>
    <definedName name="_xlnm.Print_Area" localSheetId="4">'Drop Downs'!$A$1:$O$46</definedName>
    <definedName name="_xlnm.Print_Area" localSheetId="1">'GL Template'!$A$1:$R$15</definedName>
    <definedName name="_xlnm.Print_Titles" localSheetId="1">'GL Template'!$1:$15</definedName>
    <definedName name="Program">'GL Template'!$G$16:$G$515</definedName>
    <definedName name="Program1">'GL Template'!$G$16:$G$515</definedName>
    <definedName name="Project_Grant">'GL Template'!$I$16:$I$515</definedName>
    <definedName name="ProjGrt1">'GL Template'!$I$16:$I$515</definedName>
    <definedName name="Ref">'GL Template'!$N$16:$N$515</definedName>
    <definedName name="Ref_Number">'GL Template'!#REF!</definedName>
    <definedName name="Reversal_Code">'Drop Downs'!$AF$1:$AF$4</definedName>
    <definedName name="ReversalCode">'GL Template'!$L$10</definedName>
    <definedName name="ReversalDate">'GL Template'!$K$10</definedName>
    <definedName name="Source">'GL Template'!#REF!</definedName>
    <definedName name="Sprdsht_File_Name">'GL Template'!#REF!</definedName>
    <definedName name="Total_Line_Number">'GL Template'!$K$13</definedName>
    <definedName name="Unitlist">'Drop Downs'!$AA$1:$AA$6</definedName>
  </definedNames>
  <calcPr calcId="162913"/>
</workbook>
</file>

<file path=xl/calcChain.xml><?xml version="1.0" encoding="utf-8"?>
<calcChain xmlns="http://schemas.openxmlformats.org/spreadsheetml/2006/main">
  <c r="I89" i="2" l="1"/>
  <c r="H89" i="2"/>
  <c r="G89" i="2"/>
  <c r="F89" i="2"/>
  <c r="E89" i="2"/>
  <c r="I88" i="2"/>
  <c r="H88" i="2"/>
  <c r="G88" i="2"/>
  <c r="F88" i="2"/>
  <c r="E88" i="2"/>
  <c r="I87" i="2"/>
  <c r="H87" i="2"/>
  <c r="G87" i="2"/>
  <c r="F87" i="2"/>
  <c r="E87" i="2"/>
  <c r="I86" i="2"/>
  <c r="H86" i="2"/>
  <c r="G86" i="2"/>
  <c r="F86" i="2"/>
  <c r="E86" i="2"/>
  <c r="I85" i="2"/>
  <c r="H85" i="2"/>
  <c r="G85" i="2"/>
  <c r="F85" i="2"/>
  <c r="E85" i="2"/>
  <c r="I84" i="2"/>
  <c r="H84" i="2"/>
  <c r="G84" i="2"/>
  <c r="F84" i="2"/>
  <c r="E84" i="2"/>
  <c r="I83" i="2"/>
  <c r="H83" i="2"/>
  <c r="G83" i="2"/>
  <c r="F83" i="2"/>
  <c r="E83" i="2"/>
  <c r="I82" i="2"/>
  <c r="H82" i="2"/>
  <c r="G82" i="2"/>
  <c r="F82" i="2"/>
  <c r="E82" i="2"/>
  <c r="I81" i="2"/>
  <c r="H81" i="2"/>
  <c r="G81" i="2"/>
  <c r="F81" i="2"/>
  <c r="E81" i="2"/>
  <c r="I80" i="2"/>
  <c r="H80" i="2"/>
  <c r="G80" i="2"/>
  <c r="F80" i="2"/>
  <c r="E80" i="2"/>
  <c r="I79" i="2"/>
  <c r="H79" i="2"/>
  <c r="G79" i="2"/>
  <c r="F79" i="2"/>
  <c r="E79" i="2"/>
  <c r="I78" i="2"/>
  <c r="H78" i="2"/>
  <c r="G78" i="2"/>
  <c r="F78" i="2"/>
  <c r="E78" i="2"/>
  <c r="I77" i="2"/>
  <c r="H77" i="2"/>
  <c r="G77" i="2"/>
  <c r="F77" i="2"/>
  <c r="E77" i="2"/>
  <c r="I76" i="2"/>
  <c r="H76" i="2"/>
  <c r="G76" i="2"/>
  <c r="F76" i="2"/>
  <c r="E76" i="2"/>
  <c r="I75" i="2"/>
  <c r="H75" i="2"/>
  <c r="G75" i="2"/>
  <c r="F75" i="2"/>
  <c r="E75" i="2"/>
  <c r="I74" i="2"/>
  <c r="H74" i="2"/>
  <c r="G74" i="2"/>
  <c r="F74" i="2"/>
  <c r="E74" i="2"/>
  <c r="I73" i="2"/>
  <c r="H73" i="2"/>
  <c r="G73" i="2"/>
  <c r="F73" i="2"/>
  <c r="E73" i="2"/>
  <c r="I72" i="2"/>
  <c r="H72" i="2"/>
  <c r="G72" i="2"/>
  <c r="F72" i="2"/>
  <c r="E72" i="2"/>
  <c r="I71" i="2"/>
  <c r="H71" i="2"/>
  <c r="G71" i="2"/>
  <c r="F71" i="2"/>
  <c r="E71" i="2"/>
  <c r="I70" i="2"/>
  <c r="H70" i="2"/>
  <c r="G70" i="2"/>
  <c r="F70" i="2"/>
  <c r="E70" i="2"/>
  <c r="I69" i="2"/>
  <c r="H69" i="2"/>
  <c r="G69" i="2"/>
  <c r="F69" i="2"/>
  <c r="E69" i="2"/>
  <c r="I68" i="2"/>
  <c r="H68" i="2"/>
  <c r="G68" i="2"/>
  <c r="F68" i="2"/>
  <c r="E68" i="2"/>
  <c r="I67" i="2"/>
  <c r="H67" i="2"/>
  <c r="G67" i="2"/>
  <c r="F67" i="2"/>
  <c r="E67" i="2"/>
  <c r="I66" i="2"/>
  <c r="H66" i="2"/>
  <c r="G66" i="2"/>
  <c r="F66" i="2"/>
  <c r="E66" i="2"/>
  <c r="I65" i="2"/>
  <c r="H65" i="2"/>
  <c r="G65" i="2"/>
  <c r="F65" i="2"/>
  <c r="E65" i="2"/>
  <c r="I64" i="2"/>
  <c r="H64" i="2"/>
  <c r="G64" i="2"/>
  <c r="F64" i="2"/>
  <c r="E64" i="2"/>
  <c r="I63" i="2"/>
  <c r="H63" i="2"/>
  <c r="G63" i="2"/>
  <c r="F63" i="2"/>
  <c r="E63" i="2"/>
  <c r="I62" i="2"/>
  <c r="H62" i="2"/>
  <c r="G62" i="2"/>
  <c r="F62" i="2"/>
  <c r="E62" i="2"/>
  <c r="I61" i="2"/>
  <c r="H61" i="2"/>
  <c r="G61" i="2"/>
  <c r="F61" i="2"/>
  <c r="E61" i="2"/>
  <c r="I60" i="2"/>
  <c r="H60" i="2"/>
  <c r="G60" i="2"/>
  <c r="F60" i="2"/>
  <c r="E60" i="2"/>
  <c r="I59" i="2"/>
  <c r="H59" i="2"/>
  <c r="G59" i="2"/>
  <c r="F59" i="2"/>
  <c r="E59" i="2"/>
  <c r="I58" i="2"/>
  <c r="H58" i="2"/>
  <c r="G58" i="2"/>
  <c r="F58" i="2"/>
  <c r="E58" i="2"/>
  <c r="I57" i="2"/>
  <c r="H57" i="2"/>
  <c r="G57" i="2"/>
  <c r="F57" i="2"/>
  <c r="E57" i="2"/>
  <c r="I56" i="2"/>
  <c r="H56" i="2"/>
  <c r="G56" i="2"/>
  <c r="F56" i="2"/>
  <c r="E56" i="2"/>
  <c r="I55" i="2"/>
  <c r="H55" i="2"/>
  <c r="G55" i="2"/>
  <c r="F55" i="2"/>
  <c r="E55" i="2"/>
  <c r="I54" i="2"/>
  <c r="H54" i="2"/>
  <c r="G54" i="2"/>
  <c r="F54" i="2"/>
  <c r="E54" i="2"/>
  <c r="I53" i="2"/>
  <c r="H53" i="2"/>
  <c r="G53" i="2"/>
  <c r="F53" i="2"/>
  <c r="E53" i="2"/>
  <c r="I52" i="2"/>
  <c r="H52" i="2"/>
  <c r="G52" i="2"/>
  <c r="F52" i="2"/>
  <c r="E52" i="2"/>
  <c r="I51" i="2"/>
  <c r="H51" i="2"/>
  <c r="G51" i="2"/>
  <c r="F51" i="2"/>
  <c r="E51" i="2"/>
  <c r="I50" i="2"/>
  <c r="H50" i="2"/>
  <c r="G50" i="2"/>
  <c r="F50" i="2"/>
  <c r="E50" i="2"/>
  <c r="I49" i="2"/>
  <c r="H49" i="2"/>
  <c r="G49" i="2"/>
  <c r="F49" i="2"/>
  <c r="E49" i="2"/>
  <c r="I48" i="2"/>
  <c r="H48" i="2"/>
  <c r="G48" i="2"/>
  <c r="F48" i="2"/>
  <c r="E48" i="2"/>
  <c r="I47" i="2"/>
  <c r="H47" i="2"/>
  <c r="G47" i="2"/>
  <c r="F47" i="2"/>
  <c r="E47" i="2"/>
  <c r="I46" i="2"/>
  <c r="H46" i="2"/>
  <c r="G46" i="2"/>
  <c r="F46" i="2"/>
  <c r="E46" i="2"/>
  <c r="I45" i="2"/>
  <c r="H45" i="2"/>
  <c r="G45" i="2"/>
  <c r="F45" i="2"/>
  <c r="E45" i="2"/>
  <c r="I44" i="2"/>
  <c r="H44" i="2"/>
  <c r="G44" i="2"/>
  <c r="F44" i="2"/>
  <c r="E44" i="2"/>
  <c r="I43" i="2"/>
  <c r="H43" i="2"/>
  <c r="G43" i="2"/>
  <c r="F43" i="2"/>
  <c r="E43" i="2"/>
  <c r="I42" i="2"/>
  <c r="H42" i="2"/>
  <c r="G42" i="2"/>
  <c r="F42" i="2"/>
  <c r="E42" i="2"/>
  <c r="I41" i="2"/>
  <c r="H41" i="2"/>
  <c r="G41" i="2"/>
  <c r="F41" i="2"/>
  <c r="E41" i="2"/>
  <c r="I40" i="2"/>
  <c r="H40" i="2"/>
  <c r="G40" i="2"/>
  <c r="F40" i="2"/>
  <c r="E40" i="2"/>
  <c r="I39" i="2"/>
  <c r="H39" i="2"/>
  <c r="G39" i="2"/>
  <c r="F39" i="2"/>
  <c r="E39" i="2"/>
  <c r="I38" i="2"/>
  <c r="H38" i="2"/>
  <c r="G38" i="2"/>
  <c r="F38" i="2"/>
  <c r="E38" i="2"/>
  <c r="I37" i="2"/>
  <c r="H37" i="2"/>
  <c r="G37" i="2"/>
  <c r="F37" i="2"/>
  <c r="E37" i="2"/>
  <c r="I36" i="2"/>
  <c r="H36" i="2"/>
  <c r="G36" i="2"/>
  <c r="F36" i="2"/>
  <c r="E36" i="2"/>
  <c r="I35" i="2"/>
  <c r="H35" i="2"/>
  <c r="G35" i="2"/>
  <c r="F35" i="2"/>
  <c r="E35" i="2"/>
  <c r="I34" i="2"/>
  <c r="H34" i="2"/>
  <c r="G34" i="2"/>
  <c r="F34" i="2"/>
  <c r="E34" i="2"/>
  <c r="I33" i="2"/>
  <c r="H33" i="2"/>
  <c r="G33" i="2"/>
  <c r="F33" i="2"/>
  <c r="E33" i="2"/>
  <c r="I32" i="2"/>
  <c r="H32" i="2"/>
  <c r="G32" i="2"/>
  <c r="F32" i="2"/>
  <c r="E32" i="2"/>
  <c r="I31" i="2"/>
  <c r="H31" i="2"/>
  <c r="G31" i="2"/>
  <c r="F31" i="2"/>
  <c r="E31" i="2"/>
  <c r="I30" i="2"/>
  <c r="H30" i="2"/>
  <c r="G30" i="2"/>
  <c r="F30" i="2"/>
  <c r="E30" i="2"/>
  <c r="I29" i="2"/>
  <c r="H29" i="2"/>
  <c r="G29" i="2"/>
  <c r="F29" i="2"/>
  <c r="E29" i="2"/>
  <c r="I28" i="2"/>
  <c r="H28" i="2"/>
  <c r="G28" i="2"/>
  <c r="F28" i="2"/>
  <c r="E28" i="2"/>
  <c r="I27" i="2"/>
  <c r="H27" i="2"/>
  <c r="G27" i="2"/>
  <c r="F27" i="2"/>
  <c r="E27" i="2"/>
  <c r="I26" i="2"/>
  <c r="H26" i="2"/>
  <c r="G26" i="2"/>
  <c r="F26" i="2"/>
  <c r="E26" i="2"/>
  <c r="I24" i="2"/>
  <c r="H24" i="2"/>
  <c r="G24" i="2"/>
  <c r="F24" i="2"/>
  <c r="E24" i="2"/>
  <c r="I22" i="2"/>
  <c r="H22" i="2"/>
  <c r="G22" i="2"/>
  <c r="F22" i="2"/>
  <c r="E22" i="2"/>
  <c r="I20" i="2"/>
  <c r="H20" i="2"/>
  <c r="G20" i="2"/>
  <c r="F20" i="2"/>
  <c r="E20" i="2"/>
  <c r="I18" i="2"/>
  <c r="H18" i="2"/>
  <c r="G18" i="2"/>
  <c r="F18" i="2"/>
  <c r="E18" i="2"/>
  <c r="I16" i="2"/>
  <c r="H16" i="2"/>
  <c r="G16" i="2"/>
  <c r="F16" i="2"/>
  <c r="E16" i="2"/>
  <c r="I25" i="2" l="1"/>
  <c r="H25" i="2"/>
  <c r="G25" i="2"/>
  <c r="F25" i="2"/>
  <c r="E25" i="2"/>
  <c r="I23" i="2" l="1"/>
  <c r="H23" i="2"/>
  <c r="G23" i="2"/>
  <c r="F23" i="2"/>
  <c r="E23" i="2"/>
  <c r="I21" i="2" l="1"/>
  <c r="H21" i="2"/>
  <c r="G21" i="2"/>
  <c r="F21" i="2"/>
  <c r="E21" i="2"/>
  <c r="I19" i="2"/>
  <c r="H19" i="2"/>
  <c r="G19" i="2"/>
  <c r="F19" i="2"/>
  <c r="E19" i="2"/>
  <c r="I17" i="2" l="1"/>
  <c r="H17" i="2"/>
  <c r="G17" i="2"/>
  <c r="F17" i="2"/>
  <c r="E17" i="2"/>
  <c r="L13" i="2" l="1"/>
  <c r="S16" i="2" l="1"/>
  <c r="T16" i="2"/>
  <c r="S17" i="2"/>
  <c r="T17" i="2"/>
  <c r="S18" i="2"/>
  <c r="T18" i="2"/>
  <c r="S19" i="2"/>
  <c r="T19" i="2"/>
  <c r="S20" i="2"/>
  <c r="T20" i="2"/>
  <c r="S21" i="2"/>
  <c r="T21" i="2"/>
  <c r="S22" i="2"/>
  <c r="T22" i="2"/>
  <c r="S23" i="2"/>
  <c r="T23" i="2"/>
  <c r="S24" i="2"/>
  <c r="T24" i="2"/>
  <c r="S25" i="2"/>
  <c r="T25" i="2"/>
  <c r="L6" i="2" l="1"/>
  <c r="U13" i="2" l="1"/>
  <c r="L10" i="2" s="1"/>
  <c r="T515" i="2"/>
  <c r="S515" i="2"/>
  <c r="T514" i="2"/>
  <c r="S514" i="2"/>
  <c r="T513" i="2"/>
  <c r="S513" i="2"/>
  <c r="T512" i="2"/>
  <c r="S512" i="2"/>
  <c r="T511" i="2"/>
  <c r="S511" i="2"/>
  <c r="T510" i="2"/>
  <c r="S510" i="2"/>
  <c r="T509" i="2"/>
  <c r="S509" i="2"/>
  <c r="T508" i="2"/>
  <c r="S508" i="2"/>
  <c r="T507" i="2"/>
  <c r="S507" i="2"/>
  <c r="T506" i="2"/>
  <c r="S506" i="2"/>
  <c r="T505" i="2"/>
  <c r="S505" i="2"/>
  <c r="T504" i="2"/>
  <c r="S504" i="2"/>
  <c r="T503" i="2"/>
  <c r="S503" i="2"/>
  <c r="T502" i="2"/>
  <c r="S502" i="2"/>
  <c r="T501" i="2"/>
  <c r="S501" i="2"/>
  <c r="T500" i="2"/>
  <c r="S500" i="2"/>
  <c r="T499" i="2"/>
  <c r="S499" i="2"/>
  <c r="T498" i="2"/>
  <c r="S498" i="2"/>
  <c r="T497" i="2"/>
  <c r="S497" i="2"/>
  <c r="T496" i="2"/>
  <c r="S496" i="2"/>
  <c r="T495" i="2"/>
  <c r="S495" i="2"/>
  <c r="T494" i="2"/>
  <c r="S494" i="2"/>
  <c r="T493" i="2"/>
  <c r="S493" i="2"/>
  <c r="T492" i="2"/>
  <c r="S492" i="2"/>
  <c r="T491" i="2"/>
  <c r="S491" i="2"/>
  <c r="T490" i="2"/>
  <c r="S490" i="2"/>
  <c r="T489" i="2"/>
  <c r="S489" i="2"/>
  <c r="T488" i="2"/>
  <c r="S488" i="2"/>
  <c r="T487" i="2"/>
  <c r="S487" i="2"/>
  <c r="T486" i="2"/>
  <c r="S486" i="2"/>
  <c r="T485" i="2"/>
  <c r="S485" i="2"/>
  <c r="T484" i="2"/>
  <c r="S484" i="2"/>
  <c r="T483" i="2"/>
  <c r="S483" i="2"/>
  <c r="T482" i="2"/>
  <c r="S482" i="2"/>
  <c r="T481" i="2"/>
  <c r="S481" i="2"/>
  <c r="T480" i="2"/>
  <c r="S480" i="2"/>
  <c r="T479" i="2"/>
  <c r="S479" i="2"/>
  <c r="T478" i="2"/>
  <c r="S478" i="2"/>
  <c r="T477" i="2"/>
  <c r="S477" i="2"/>
  <c r="T476" i="2"/>
  <c r="S476" i="2"/>
  <c r="T475" i="2"/>
  <c r="S475" i="2"/>
  <c r="T474" i="2"/>
  <c r="S474" i="2"/>
  <c r="T473" i="2"/>
  <c r="S473" i="2"/>
  <c r="T472" i="2"/>
  <c r="S472" i="2"/>
  <c r="T471" i="2"/>
  <c r="S471" i="2"/>
  <c r="T470" i="2"/>
  <c r="S470" i="2"/>
  <c r="T469" i="2"/>
  <c r="S469" i="2"/>
  <c r="T468" i="2"/>
  <c r="S468" i="2"/>
  <c r="T467" i="2"/>
  <c r="S467" i="2"/>
  <c r="T466" i="2"/>
  <c r="S466" i="2"/>
  <c r="T465" i="2"/>
  <c r="S465" i="2"/>
  <c r="T464" i="2"/>
  <c r="S464" i="2"/>
  <c r="T463" i="2"/>
  <c r="S463" i="2"/>
  <c r="T462" i="2"/>
  <c r="S462" i="2"/>
  <c r="T461" i="2"/>
  <c r="S461" i="2"/>
  <c r="T460" i="2"/>
  <c r="S460" i="2"/>
  <c r="T459" i="2"/>
  <c r="S459" i="2"/>
  <c r="T458" i="2"/>
  <c r="S458" i="2"/>
  <c r="T457" i="2"/>
  <c r="S457" i="2"/>
  <c r="T456" i="2"/>
  <c r="S456" i="2"/>
  <c r="T455" i="2"/>
  <c r="S455" i="2"/>
  <c r="T454" i="2"/>
  <c r="S454" i="2"/>
  <c r="T453" i="2"/>
  <c r="S453" i="2"/>
  <c r="T452" i="2"/>
  <c r="S452" i="2"/>
  <c r="T451" i="2"/>
  <c r="S451" i="2"/>
  <c r="T450" i="2"/>
  <c r="S450" i="2"/>
  <c r="T449" i="2"/>
  <c r="S449" i="2"/>
  <c r="T448" i="2"/>
  <c r="S448" i="2"/>
  <c r="T447" i="2"/>
  <c r="S447" i="2"/>
  <c r="T446" i="2"/>
  <c r="S446" i="2"/>
  <c r="T445" i="2"/>
  <c r="S445" i="2"/>
  <c r="T444" i="2"/>
  <c r="S444" i="2"/>
  <c r="T443" i="2"/>
  <c r="S443" i="2"/>
  <c r="T442" i="2"/>
  <c r="S442" i="2"/>
  <c r="T441" i="2"/>
  <c r="S441" i="2"/>
  <c r="T440" i="2"/>
  <c r="S440" i="2"/>
  <c r="T439" i="2"/>
  <c r="S439" i="2"/>
  <c r="T438" i="2"/>
  <c r="S438" i="2"/>
  <c r="T437" i="2"/>
  <c r="S437" i="2"/>
  <c r="T436" i="2"/>
  <c r="S436" i="2"/>
  <c r="T435" i="2"/>
  <c r="S435" i="2"/>
  <c r="T434" i="2"/>
  <c r="S434" i="2"/>
  <c r="T433" i="2"/>
  <c r="S433" i="2"/>
  <c r="T432" i="2"/>
  <c r="S432" i="2"/>
  <c r="T431" i="2"/>
  <c r="S431" i="2"/>
  <c r="T430" i="2"/>
  <c r="S430" i="2"/>
  <c r="T429" i="2"/>
  <c r="S429" i="2"/>
  <c r="T428" i="2"/>
  <c r="S428" i="2"/>
  <c r="T427" i="2"/>
  <c r="S427" i="2"/>
  <c r="T426" i="2"/>
  <c r="S426" i="2"/>
  <c r="T425" i="2"/>
  <c r="S425" i="2"/>
  <c r="T424" i="2"/>
  <c r="S424" i="2"/>
  <c r="T423" i="2"/>
  <c r="S423" i="2"/>
  <c r="T422" i="2"/>
  <c r="S422" i="2"/>
  <c r="T421" i="2"/>
  <c r="S421" i="2"/>
  <c r="T420" i="2"/>
  <c r="S420" i="2"/>
  <c r="T419" i="2"/>
  <c r="S419" i="2"/>
  <c r="T418" i="2"/>
  <c r="S418" i="2"/>
  <c r="T417" i="2"/>
  <c r="S417" i="2"/>
  <c r="T416" i="2"/>
  <c r="S416" i="2"/>
  <c r="T415" i="2"/>
  <c r="S415" i="2"/>
  <c r="T414" i="2"/>
  <c r="S414" i="2"/>
  <c r="T413" i="2"/>
  <c r="S413" i="2"/>
  <c r="T412" i="2"/>
  <c r="S412" i="2"/>
  <c r="T411" i="2"/>
  <c r="S411" i="2"/>
  <c r="T410" i="2"/>
  <c r="S410" i="2"/>
  <c r="T409" i="2"/>
  <c r="S409" i="2"/>
  <c r="T408" i="2"/>
  <c r="S408" i="2"/>
  <c r="T407" i="2"/>
  <c r="S407" i="2"/>
  <c r="T406" i="2"/>
  <c r="S406" i="2"/>
  <c r="T405" i="2"/>
  <c r="S405" i="2"/>
  <c r="T404" i="2"/>
  <c r="S404" i="2"/>
  <c r="T403" i="2"/>
  <c r="S403" i="2"/>
  <c r="T402" i="2"/>
  <c r="S402" i="2"/>
  <c r="T401" i="2"/>
  <c r="S401" i="2"/>
  <c r="T400" i="2"/>
  <c r="S400" i="2"/>
  <c r="T399" i="2"/>
  <c r="S399" i="2"/>
  <c r="T398" i="2"/>
  <c r="S398" i="2"/>
  <c r="T397" i="2"/>
  <c r="S397" i="2"/>
  <c r="T396" i="2"/>
  <c r="S396" i="2"/>
  <c r="T395" i="2"/>
  <c r="S395" i="2"/>
  <c r="T394" i="2"/>
  <c r="S394" i="2"/>
  <c r="T393" i="2"/>
  <c r="S393" i="2"/>
  <c r="T392" i="2"/>
  <c r="S392" i="2"/>
  <c r="T391" i="2"/>
  <c r="S391" i="2"/>
  <c r="T390" i="2"/>
  <c r="S390" i="2"/>
  <c r="T389" i="2"/>
  <c r="S389" i="2"/>
  <c r="T388" i="2"/>
  <c r="S388" i="2"/>
  <c r="T387" i="2"/>
  <c r="S387" i="2"/>
  <c r="T386" i="2"/>
  <c r="S386" i="2"/>
  <c r="T385" i="2"/>
  <c r="S385" i="2"/>
  <c r="T384" i="2"/>
  <c r="S384" i="2"/>
  <c r="T383" i="2"/>
  <c r="S383" i="2"/>
  <c r="T382" i="2"/>
  <c r="S382" i="2"/>
  <c r="T381" i="2"/>
  <c r="S381" i="2"/>
  <c r="T380" i="2"/>
  <c r="S380" i="2"/>
  <c r="T379" i="2"/>
  <c r="S379" i="2"/>
  <c r="T378" i="2"/>
  <c r="S378" i="2"/>
  <c r="T377" i="2"/>
  <c r="S377" i="2"/>
  <c r="T376" i="2"/>
  <c r="S376" i="2"/>
  <c r="T375" i="2"/>
  <c r="S375" i="2"/>
  <c r="T374" i="2"/>
  <c r="S374" i="2"/>
  <c r="T373" i="2"/>
  <c r="S373" i="2"/>
  <c r="T372" i="2"/>
  <c r="S372" i="2"/>
  <c r="T371" i="2"/>
  <c r="S371" i="2"/>
  <c r="T370" i="2"/>
  <c r="S370" i="2"/>
  <c r="T369" i="2"/>
  <c r="S369" i="2"/>
  <c r="T368" i="2"/>
  <c r="S368" i="2"/>
  <c r="T367" i="2"/>
  <c r="S367" i="2"/>
  <c r="T366" i="2"/>
  <c r="S366" i="2"/>
  <c r="T365" i="2"/>
  <c r="S365" i="2"/>
  <c r="T364" i="2"/>
  <c r="S364" i="2"/>
  <c r="T363" i="2"/>
  <c r="S363" i="2"/>
  <c r="T362" i="2"/>
  <c r="S362" i="2"/>
  <c r="T361" i="2"/>
  <c r="S361" i="2"/>
  <c r="T360" i="2"/>
  <c r="S360" i="2"/>
  <c r="T359" i="2"/>
  <c r="S359" i="2"/>
  <c r="T358" i="2"/>
  <c r="S358" i="2"/>
  <c r="T357" i="2"/>
  <c r="S357" i="2"/>
  <c r="T356" i="2"/>
  <c r="S356" i="2"/>
  <c r="T355" i="2"/>
  <c r="S355" i="2"/>
  <c r="T354" i="2"/>
  <c r="S354" i="2"/>
  <c r="T353" i="2"/>
  <c r="S353" i="2"/>
  <c r="T352" i="2"/>
  <c r="S352" i="2"/>
  <c r="T351" i="2"/>
  <c r="S351" i="2"/>
  <c r="T350" i="2"/>
  <c r="S350" i="2"/>
  <c r="T349" i="2"/>
  <c r="S349" i="2"/>
  <c r="T348" i="2"/>
  <c r="S348" i="2"/>
  <c r="T347" i="2"/>
  <c r="S347" i="2"/>
  <c r="T346" i="2"/>
  <c r="S346" i="2"/>
  <c r="T345" i="2"/>
  <c r="S345" i="2"/>
  <c r="T344" i="2"/>
  <c r="S344" i="2"/>
  <c r="T343" i="2"/>
  <c r="S343" i="2"/>
  <c r="T342" i="2"/>
  <c r="S342" i="2"/>
  <c r="T341" i="2"/>
  <c r="S341" i="2"/>
  <c r="T340" i="2"/>
  <c r="S340" i="2"/>
  <c r="T339" i="2"/>
  <c r="S339" i="2"/>
  <c r="T338" i="2"/>
  <c r="S338" i="2"/>
  <c r="T337" i="2"/>
  <c r="S337" i="2"/>
  <c r="T336" i="2"/>
  <c r="S336" i="2"/>
  <c r="T335" i="2"/>
  <c r="S335" i="2"/>
  <c r="T334" i="2"/>
  <c r="S334" i="2"/>
  <c r="T333" i="2"/>
  <c r="S333" i="2"/>
  <c r="T332" i="2"/>
  <c r="S332" i="2"/>
  <c r="T331" i="2"/>
  <c r="S331" i="2"/>
  <c r="T330" i="2"/>
  <c r="S330" i="2"/>
  <c r="T329" i="2"/>
  <c r="S329" i="2"/>
  <c r="T328" i="2"/>
  <c r="S328" i="2"/>
  <c r="T327" i="2"/>
  <c r="S327" i="2"/>
  <c r="T326" i="2"/>
  <c r="S326" i="2"/>
  <c r="T325" i="2"/>
  <c r="S325" i="2"/>
  <c r="T324" i="2"/>
  <c r="S324" i="2"/>
  <c r="T323" i="2"/>
  <c r="S323" i="2"/>
  <c r="T322" i="2"/>
  <c r="S322" i="2"/>
  <c r="T321" i="2"/>
  <c r="S321" i="2"/>
  <c r="T320" i="2"/>
  <c r="S320" i="2"/>
  <c r="T319" i="2"/>
  <c r="S319" i="2"/>
  <c r="T318" i="2"/>
  <c r="S318" i="2"/>
  <c r="T317" i="2"/>
  <c r="S317" i="2"/>
  <c r="T316" i="2"/>
  <c r="S316" i="2"/>
  <c r="T315" i="2"/>
  <c r="S315" i="2"/>
  <c r="T314" i="2"/>
  <c r="S314" i="2"/>
  <c r="T313" i="2"/>
  <c r="S313" i="2"/>
  <c r="T312" i="2"/>
  <c r="S312" i="2"/>
  <c r="T311" i="2"/>
  <c r="S311" i="2"/>
  <c r="T310" i="2"/>
  <c r="S310" i="2"/>
  <c r="T309" i="2"/>
  <c r="S309" i="2"/>
  <c r="T308" i="2"/>
  <c r="S308" i="2"/>
  <c r="T307" i="2"/>
  <c r="S307" i="2"/>
  <c r="T306" i="2"/>
  <c r="S306" i="2"/>
  <c r="T305" i="2"/>
  <c r="S305" i="2"/>
  <c r="T304" i="2"/>
  <c r="S304" i="2"/>
  <c r="T303" i="2"/>
  <c r="S303" i="2"/>
  <c r="T302" i="2"/>
  <c r="S302" i="2"/>
  <c r="T301" i="2"/>
  <c r="S301" i="2"/>
  <c r="T300" i="2"/>
  <c r="S300" i="2"/>
  <c r="T299" i="2"/>
  <c r="S299" i="2"/>
  <c r="T298" i="2"/>
  <c r="S298" i="2"/>
  <c r="T297" i="2"/>
  <c r="S297" i="2"/>
  <c r="T296" i="2"/>
  <c r="S296" i="2"/>
  <c r="T295" i="2"/>
  <c r="S295" i="2"/>
  <c r="T294" i="2"/>
  <c r="S294" i="2"/>
  <c r="T293" i="2"/>
  <c r="S293" i="2"/>
  <c r="T292" i="2"/>
  <c r="S292" i="2"/>
  <c r="T291" i="2"/>
  <c r="S291" i="2"/>
  <c r="T290" i="2"/>
  <c r="S290" i="2"/>
  <c r="T289" i="2"/>
  <c r="S289" i="2"/>
  <c r="T288" i="2"/>
  <c r="S288" i="2"/>
  <c r="T287" i="2"/>
  <c r="S287" i="2"/>
  <c r="T286" i="2"/>
  <c r="S286" i="2"/>
  <c r="T285" i="2"/>
  <c r="S285" i="2"/>
  <c r="T284" i="2"/>
  <c r="S284" i="2"/>
  <c r="T283" i="2"/>
  <c r="S283" i="2"/>
  <c r="T282" i="2"/>
  <c r="S282" i="2"/>
  <c r="T281" i="2"/>
  <c r="S281" i="2"/>
  <c r="T280" i="2"/>
  <c r="S280" i="2"/>
  <c r="T279" i="2"/>
  <c r="S279" i="2"/>
  <c r="T278" i="2"/>
  <c r="S278" i="2"/>
  <c r="T277" i="2"/>
  <c r="S277" i="2"/>
  <c r="T276" i="2"/>
  <c r="S276" i="2"/>
  <c r="T275" i="2"/>
  <c r="S275" i="2"/>
  <c r="T274" i="2"/>
  <c r="S274" i="2"/>
  <c r="T273" i="2"/>
  <c r="S273" i="2"/>
  <c r="T272" i="2"/>
  <c r="S272" i="2"/>
  <c r="T271" i="2"/>
  <c r="S271" i="2"/>
  <c r="T270" i="2"/>
  <c r="S270" i="2"/>
  <c r="T269" i="2"/>
  <c r="S269" i="2"/>
  <c r="T268" i="2"/>
  <c r="S268" i="2"/>
  <c r="T267" i="2"/>
  <c r="S267" i="2"/>
  <c r="T266" i="2"/>
  <c r="S266" i="2"/>
  <c r="T265" i="2"/>
  <c r="S265" i="2"/>
  <c r="T264" i="2"/>
  <c r="S264" i="2"/>
  <c r="T263" i="2"/>
  <c r="S263" i="2"/>
  <c r="T262" i="2"/>
  <c r="S262" i="2"/>
  <c r="T261" i="2"/>
  <c r="S261" i="2"/>
  <c r="T260" i="2"/>
  <c r="S260" i="2"/>
  <c r="T259" i="2"/>
  <c r="S259" i="2"/>
  <c r="T258" i="2"/>
  <c r="S258" i="2"/>
  <c r="T257" i="2"/>
  <c r="S257" i="2"/>
  <c r="T256" i="2"/>
  <c r="S256" i="2"/>
  <c r="T255" i="2"/>
  <c r="S255" i="2"/>
  <c r="T254" i="2"/>
  <c r="S254" i="2"/>
  <c r="T253" i="2"/>
  <c r="S253" i="2"/>
  <c r="T252" i="2"/>
  <c r="S252" i="2"/>
  <c r="T251" i="2"/>
  <c r="S251" i="2"/>
  <c r="T250" i="2"/>
  <c r="S250" i="2"/>
  <c r="T249" i="2"/>
  <c r="S249" i="2"/>
  <c r="T248" i="2"/>
  <c r="S248" i="2"/>
  <c r="T247" i="2"/>
  <c r="S247" i="2"/>
  <c r="T246" i="2"/>
  <c r="S246" i="2"/>
  <c r="T245" i="2"/>
  <c r="S245" i="2"/>
  <c r="T244" i="2"/>
  <c r="S244" i="2"/>
  <c r="T243" i="2"/>
  <c r="S243" i="2"/>
  <c r="T242" i="2"/>
  <c r="S242" i="2"/>
  <c r="T241" i="2"/>
  <c r="S241" i="2"/>
  <c r="T240" i="2"/>
  <c r="S240" i="2"/>
  <c r="T239" i="2"/>
  <c r="S239" i="2"/>
  <c r="T238" i="2"/>
  <c r="S238" i="2"/>
  <c r="T237" i="2"/>
  <c r="S237" i="2"/>
  <c r="T236" i="2"/>
  <c r="S236" i="2"/>
  <c r="T235" i="2"/>
  <c r="S235" i="2"/>
  <c r="T234" i="2"/>
  <c r="S234" i="2"/>
  <c r="T233" i="2"/>
  <c r="S233" i="2"/>
  <c r="T232" i="2"/>
  <c r="S232" i="2"/>
  <c r="T231" i="2"/>
  <c r="S231" i="2"/>
  <c r="T230" i="2"/>
  <c r="S230" i="2"/>
  <c r="T229" i="2"/>
  <c r="S229" i="2"/>
  <c r="T228" i="2"/>
  <c r="S228" i="2"/>
  <c r="T227" i="2"/>
  <c r="S227" i="2"/>
  <c r="T226" i="2"/>
  <c r="S226" i="2"/>
  <c r="T225" i="2"/>
  <c r="S225" i="2"/>
  <c r="T224" i="2"/>
  <c r="S224" i="2"/>
  <c r="T223" i="2"/>
  <c r="S223" i="2"/>
  <c r="T222" i="2"/>
  <c r="S222" i="2"/>
  <c r="T221" i="2"/>
  <c r="S221" i="2"/>
  <c r="T220" i="2"/>
  <c r="S220" i="2"/>
  <c r="T219" i="2"/>
  <c r="S219" i="2"/>
  <c r="T218" i="2"/>
  <c r="S218" i="2"/>
  <c r="T217" i="2"/>
  <c r="S217" i="2"/>
  <c r="T216" i="2"/>
  <c r="S216" i="2"/>
  <c r="T215" i="2"/>
  <c r="S215" i="2"/>
  <c r="T214" i="2"/>
  <c r="S214" i="2"/>
  <c r="T213" i="2"/>
  <c r="S213" i="2"/>
  <c r="T212" i="2"/>
  <c r="S212" i="2"/>
  <c r="T211" i="2"/>
  <c r="S211" i="2"/>
  <c r="T210" i="2"/>
  <c r="S210" i="2"/>
  <c r="T209" i="2"/>
  <c r="S209" i="2"/>
  <c r="T208" i="2"/>
  <c r="S208" i="2"/>
  <c r="T207" i="2"/>
  <c r="S207" i="2"/>
  <c r="T206" i="2"/>
  <c r="S206" i="2"/>
  <c r="T205" i="2"/>
  <c r="S205" i="2"/>
  <c r="T204" i="2"/>
  <c r="S204" i="2"/>
  <c r="T203" i="2"/>
  <c r="S203" i="2"/>
  <c r="T202" i="2"/>
  <c r="S202" i="2"/>
  <c r="T201" i="2"/>
  <c r="S201" i="2"/>
  <c r="T200" i="2"/>
  <c r="S200" i="2"/>
  <c r="T199" i="2"/>
  <c r="S199" i="2"/>
  <c r="T198" i="2"/>
  <c r="S198" i="2"/>
  <c r="T197" i="2"/>
  <c r="S197" i="2"/>
  <c r="T196" i="2"/>
  <c r="S196" i="2"/>
  <c r="T195" i="2"/>
  <c r="S195" i="2"/>
  <c r="T194" i="2"/>
  <c r="S194" i="2"/>
  <c r="T193" i="2"/>
  <c r="S193" i="2"/>
  <c r="T192" i="2"/>
  <c r="S192" i="2"/>
  <c r="T191" i="2"/>
  <c r="S191" i="2"/>
  <c r="T190" i="2"/>
  <c r="S190" i="2"/>
  <c r="T189" i="2"/>
  <c r="S189" i="2"/>
  <c r="T188" i="2"/>
  <c r="S188" i="2"/>
  <c r="T187" i="2"/>
  <c r="S187" i="2"/>
  <c r="T186" i="2"/>
  <c r="S186" i="2"/>
  <c r="T185" i="2"/>
  <c r="S185" i="2"/>
  <c r="T184" i="2"/>
  <c r="S184" i="2"/>
  <c r="T183" i="2"/>
  <c r="S183" i="2"/>
  <c r="T182" i="2"/>
  <c r="S182" i="2"/>
  <c r="T181" i="2"/>
  <c r="S181" i="2"/>
  <c r="T180" i="2"/>
  <c r="S180" i="2"/>
  <c r="T179" i="2"/>
  <c r="S179" i="2"/>
  <c r="T178" i="2"/>
  <c r="S178" i="2"/>
  <c r="T177" i="2"/>
  <c r="S177" i="2"/>
  <c r="T176" i="2"/>
  <c r="S176" i="2"/>
  <c r="T175" i="2"/>
  <c r="S175" i="2"/>
  <c r="T174" i="2"/>
  <c r="S174" i="2"/>
  <c r="T173" i="2"/>
  <c r="S173" i="2"/>
  <c r="T172" i="2"/>
  <c r="S172" i="2"/>
  <c r="T171" i="2"/>
  <c r="S171" i="2"/>
  <c r="T170" i="2"/>
  <c r="S170" i="2"/>
  <c r="T169" i="2"/>
  <c r="S169" i="2"/>
  <c r="T168" i="2"/>
  <c r="S168" i="2"/>
  <c r="T167" i="2"/>
  <c r="S167" i="2"/>
  <c r="T166" i="2"/>
  <c r="S166" i="2"/>
  <c r="T165" i="2"/>
  <c r="S165" i="2"/>
  <c r="T164" i="2"/>
  <c r="S164" i="2"/>
  <c r="T163" i="2"/>
  <c r="S163" i="2"/>
  <c r="T162" i="2"/>
  <c r="S162" i="2"/>
  <c r="T161" i="2"/>
  <c r="S161" i="2"/>
  <c r="T160" i="2"/>
  <c r="S160" i="2"/>
  <c r="T159" i="2"/>
  <c r="S159" i="2"/>
  <c r="T158" i="2"/>
  <c r="S158" i="2"/>
  <c r="T157" i="2"/>
  <c r="S157" i="2"/>
  <c r="T156" i="2"/>
  <c r="S156" i="2"/>
  <c r="T155" i="2"/>
  <c r="S155" i="2"/>
  <c r="T154" i="2"/>
  <c r="S154" i="2"/>
  <c r="T153" i="2"/>
  <c r="S153" i="2"/>
  <c r="T152" i="2"/>
  <c r="S152" i="2"/>
  <c r="T151" i="2"/>
  <c r="S151" i="2"/>
  <c r="T150" i="2"/>
  <c r="S150" i="2"/>
  <c r="T149" i="2"/>
  <c r="S149" i="2"/>
  <c r="T148" i="2"/>
  <c r="S148" i="2"/>
  <c r="T147" i="2"/>
  <c r="S147" i="2"/>
  <c r="T146" i="2"/>
  <c r="S146" i="2"/>
  <c r="T145" i="2"/>
  <c r="S145" i="2"/>
  <c r="T144" i="2"/>
  <c r="S144" i="2"/>
  <c r="T143" i="2"/>
  <c r="S143" i="2"/>
  <c r="T142" i="2"/>
  <c r="S142" i="2"/>
  <c r="T141" i="2"/>
  <c r="S141" i="2"/>
  <c r="T140" i="2"/>
  <c r="S140" i="2"/>
  <c r="T139" i="2"/>
  <c r="S139" i="2"/>
  <c r="T138" i="2"/>
  <c r="S138" i="2"/>
  <c r="T137" i="2"/>
  <c r="S137" i="2"/>
  <c r="T136" i="2"/>
  <c r="S136" i="2"/>
  <c r="T135" i="2"/>
  <c r="S135" i="2"/>
  <c r="T134" i="2"/>
  <c r="S134" i="2"/>
  <c r="T133" i="2"/>
  <c r="S133" i="2"/>
  <c r="T132" i="2"/>
  <c r="S132" i="2"/>
  <c r="T131" i="2"/>
  <c r="S131" i="2"/>
  <c r="T130" i="2"/>
  <c r="S130" i="2"/>
  <c r="T129" i="2"/>
  <c r="S129" i="2"/>
  <c r="T128" i="2"/>
  <c r="S128" i="2"/>
  <c r="T127" i="2"/>
  <c r="S127" i="2"/>
  <c r="T126" i="2"/>
  <c r="S126" i="2"/>
  <c r="T125" i="2"/>
  <c r="S125" i="2"/>
  <c r="T124" i="2"/>
  <c r="S124" i="2"/>
  <c r="T123" i="2"/>
  <c r="S123" i="2"/>
  <c r="T122" i="2"/>
  <c r="S122" i="2"/>
  <c r="T121" i="2"/>
  <c r="S121" i="2"/>
  <c r="T120" i="2"/>
  <c r="S120" i="2"/>
  <c r="T119" i="2"/>
  <c r="S119" i="2"/>
  <c r="T118" i="2"/>
  <c r="S118" i="2"/>
  <c r="T117" i="2"/>
  <c r="S117" i="2"/>
  <c r="T116" i="2"/>
  <c r="S116" i="2"/>
  <c r="T115" i="2"/>
  <c r="S115" i="2"/>
  <c r="T114" i="2"/>
  <c r="S114" i="2"/>
  <c r="T113" i="2"/>
  <c r="S113" i="2"/>
  <c r="T112" i="2"/>
  <c r="S112" i="2"/>
  <c r="T111" i="2"/>
  <c r="S111" i="2"/>
  <c r="T110" i="2"/>
  <c r="S110" i="2"/>
  <c r="T109" i="2"/>
  <c r="S109" i="2"/>
  <c r="T108" i="2"/>
  <c r="S108" i="2"/>
  <c r="T107" i="2"/>
  <c r="S107" i="2"/>
  <c r="T106" i="2"/>
  <c r="S106" i="2"/>
  <c r="T105" i="2"/>
  <c r="S105" i="2"/>
  <c r="T104" i="2"/>
  <c r="S104" i="2"/>
  <c r="T103" i="2"/>
  <c r="S103" i="2"/>
  <c r="T102" i="2"/>
  <c r="S102" i="2"/>
  <c r="T101" i="2"/>
  <c r="S101" i="2"/>
  <c r="T100" i="2"/>
  <c r="S100" i="2"/>
  <c r="T99" i="2"/>
  <c r="S99" i="2"/>
  <c r="T98" i="2"/>
  <c r="S98" i="2"/>
  <c r="T97" i="2"/>
  <c r="S97" i="2"/>
  <c r="T96" i="2"/>
  <c r="S96" i="2"/>
  <c r="T95" i="2"/>
  <c r="S95" i="2"/>
  <c r="T94" i="2"/>
  <c r="S94" i="2"/>
  <c r="T93" i="2"/>
  <c r="S93" i="2"/>
  <c r="T92" i="2"/>
  <c r="S92" i="2"/>
  <c r="T91" i="2"/>
  <c r="S91" i="2"/>
  <c r="T90" i="2"/>
  <c r="S90" i="2"/>
  <c r="T89" i="2"/>
  <c r="S89" i="2"/>
  <c r="T88" i="2"/>
  <c r="S88" i="2"/>
  <c r="T87" i="2"/>
  <c r="S87" i="2"/>
  <c r="T86" i="2"/>
  <c r="S86" i="2"/>
  <c r="T85" i="2"/>
  <c r="S85" i="2"/>
  <c r="T84" i="2"/>
  <c r="S84" i="2"/>
  <c r="T83" i="2"/>
  <c r="S83" i="2"/>
  <c r="T82" i="2"/>
  <c r="S82" i="2"/>
  <c r="T81" i="2"/>
  <c r="S81" i="2"/>
  <c r="T80" i="2"/>
  <c r="S80" i="2"/>
  <c r="T79" i="2"/>
  <c r="S79" i="2"/>
  <c r="T78" i="2"/>
  <c r="S78" i="2"/>
  <c r="T77" i="2"/>
  <c r="S77" i="2"/>
  <c r="T76" i="2"/>
  <c r="S76" i="2"/>
  <c r="T75" i="2"/>
  <c r="S75" i="2"/>
  <c r="T74" i="2"/>
  <c r="S74" i="2"/>
  <c r="T73" i="2"/>
  <c r="S73" i="2"/>
  <c r="T72" i="2"/>
  <c r="S72" i="2"/>
  <c r="T71" i="2"/>
  <c r="S71" i="2"/>
  <c r="T70" i="2"/>
  <c r="S70" i="2"/>
  <c r="T69" i="2"/>
  <c r="S69" i="2"/>
  <c r="T68" i="2"/>
  <c r="S68" i="2"/>
  <c r="T67" i="2"/>
  <c r="S67" i="2"/>
  <c r="T66" i="2"/>
  <c r="S66" i="2"/>
  <c r="T65" i="2"/>
  <c r="S65" i="2"/>
  <c r="T64" i="2"/>
  <c r="S64" i="2"/>
  <c r="T63" i="2"/>
  <c r="S63" i="2"/>
  <c r="T62" i="2"/>
  <c r="S62" i="2"/>
  <c r="T61" i="2"/>
  <c r="S61" i="2"/>
  <c r="T60" i="2"/>
  <c r="S60" i="2"/>
  <c r="T59" i="2"/>
  <c r="S59" i="2"/>
  <c r="T58" i="2"/>
  <c r="S58" i="2"/>
  <c r="T57" i="2"/>
  <c r="S57" i="2"/>
  <c r="T56" i="2"/>
  <c r="S56" i="2"/>
  <c r="T55" i="2"/>
  <c r="S55" i="2"/>
  <c r="T54" i="2"/>
  <c r="S54" i="2"/>
  <c r="T53" i="2"/>
  <c r="S53" i="2"/>
  <c r="T52" i="2"/>
  <c r="S52" i="2"/>
  <c r="T51" i="2"/>
  <c r="S51" i="2"/>
  <c r="T50" i="2"/>
  <c r="S50" i="2"/>
  <c r="T49" i="2"/>
  <c r="S49" i="2"/>
  <c r="T48" i="2"/>
  <c r="S48" i="2"/>
  <c r="T47" i="2"/>
  <c r="S47" i="2"/>
  <c r="T46" i="2"/>
  <c r="S46" i="2"/>
  <c r="T45" i="2"/>
  <c r="S45" i="2"/>
  <c r="T44" i="2"/>
  <c r="S44" i="2"/>
  <c r="T43" i="2"/>
  <c r="S43" i="2"/>
  <c r="T42" i="2"/>
  <c r="S42" i="2"/>
  <c r="T41" i="2"/>
  <c r="S41" i="2"/>
  <c r="T40" i="2"/>
  <c r="S40" i="2"/>
  <c r="T39" i="2"/>
  <c r="S39" i="2"/>
  <c r="T38" i="2"/>
  <c r="S38" i="2"/>
  <c r="T37" i="2"/>
  <c r="S37" i="2"/>
  <c r="T36" i="2"/>
  <c r="S36" i="2"/>
  <c r="T35" i="2"/>
  <c r="S35" i="2"/>
  <c r="T34" i="2"/>
  <c r="S34" i="2"/>
  <c r="T33" i="2"/>
  <c r="S33" i="2"/>
  <c r="T32" i="2"/>
  <c r="S32" i="2"/>
  <c r="T31" i="2"/>
  <c r="S31" i="2"/>
  <c r="T30" i="2"/>
  <c r="S30" i="2"/>
  <c r="T29" i="2"/>
  <c r="S29" i="2"/>
  <c r="T28" i="2"/>
  <c r="S28" i="2"/>
  <c r="T27" i="2"/>
  <c r="S27" i="2"/>
  <c r="T26" i="2"/>
  <c r="S26" i="2"/>
  <c r="R2" i="7" l="1"/>
  <c r="Q2" i="7"/>
  <c r="P2" i="7"/>
  <c r="O2" i="7"/>
  <c r="N2" i="7"/>
  <c r="R501" i="7"/>
  <c r="Q501" i="7"/>
  <c r="P501" i="7"/>
  <c r="O501" i="7"/>
  <c r="N501" i="7"/>
  <c r="B501" i="7"/>
  <c r="A501" i="7"/>
  <c r="R500" i="7"/>
  <c r="Q500" i="7"/>
  <c r="P500" i="7"/>
  <c r="O500" i="7"/>
  <c r="N500" i="7"/>
  <c r="B500" i="7"/>
  <c r="A500" i="7"/>
  <c r="R499" i="7"/>
  <c r="Q499" i="7"/>
  <c r="P499" i="7"/>
  <c r="O499" i="7"/>
  <c r="N499" i="7"/>
  <c r="B499" i="7"/>
  <c r="A499" i="7"/>
  <c r="R498" i="7"/>
  <c r="Q498" i="7"/>
  <c r="P498" i="7"/>
  <c r="O498" i="7"/>
  <c r="N498" i="7"/>
  <c r="B498" i="7"/>
  <c r="A498" i="7"/>
  <c r="R497" i="7"/>
  <c r="Q497" i="7"/>
  <c r="P497" i="7"/>
  <c r="O497" i="7"/>
  <c r="N497" i="7"/>
  <c r="B497" i="7"/>
  <c r="A497" i="7"/>
  <c r="R496" i="7"/>
  <c r="Q496" i="7"/>
  <c r="P496" i="7"/>
  <c r="O496" i="7"/>
  <c r="N496" i="7"/>
  <c r="B496" i="7"/>
  <c r="A496" i="7"/>
  <c r="R495" i="7"/>
  <c r="Q495" i="7"/>
  <c r="P495" i="7"/>
  <c r="O495" i="7"/>
  <c r="N495" i="7"/>
  <c r="B495" i="7"/>
  <c r="A495" i="7"/>
  <c r="R494" i="7"/>
  <c r="Q494" i="7"/>
  <c r="P494" i="7"/>
  <c r="O494" i="7"/>
  <c r="N494" i="7"/>
  <c r="B494" i="7"/>
  <c r="A494" i="7"/>
  <c r="R493" i="7"/>
  <c r="Q493" i="7"/>
  <c r="P493" i="7"/>
  <c r="O493" i="7"/>
  <c r="N493" i="7"/>
  <c r="B493" i="7"/>
  <c r="A493" i="7"/>
  <c r="R492" i="7"/>
  <c r="Q492" i="7"/>
  <c r="P492" i="7"/>
  <c r="O492" i="7"/>
  <c r="N492" i="7"/>
  <c r="B492" i="7"/>
  <c r="A492" i="7"/>
  <c r="R491" i="7"/>
  <c r="Q491" i="7"/>
  <c r="P491" i="7"/>
  <c r="O491" i="7"/>
  <c r="N491" i="7"/>
  <c r="B491" i="7"/>
  <c r="A491" i="7"/>
  <c r="R490" i="7"/>
  <c r="Q490" i="7"/>
  <c r="P490" i="7"/>
  <c r="O490" i="7"/>
  <c r="N490" i="7"/>
  <c r="B490" i="7"/>
  <c r="A490" i="7"/>
  <c r="R489" i="7"/>
  <c r="Q489" i="7"/>
  <c r="P489" i="7"/>
  <c r="O489" i="7"/>
  <c r="N489" i="7"/>
  <c r="B489" i="7"/>
  <c r="A489" i="7"/>
  <c r="R488" i="7"/>
  <c r="Q488" i="7"/>
  <c r="P488" i="7"/>
  <c r="O488" i="7"/>
  <c r="N488" i="7"/>
  <c r="B488" i="7"/>
  <c r="A488" i="7"/>
  <c r="R487" i="7"/>
  <c r="Q487" i="7"/>
  <c r="P487" i="7"/>
  <c r="O487" i="7"/>
  <c r="N487" i="7"/>
  <c r="B487" i="7"/>
  <c r="A487" i="7"/>
  <c r="R486" i="7"/>
  <c r="Q486" i="7"/>
  <c r="P486" i="7"/>
  <c r="O486" i="7"/>
  <c r="N486" i="7"/>
  <c r="B486" i="7"/>
  <c r="A486" i="7"/>
  <c r="R485" i="7"/>
  <c r="Q485" i="7"/>
  <c r="P485" i="7"/>
  <c r="O485" i="7"/>
  <c r="N485" i="7"/>
  <c r="B485" i="7"/>
  <c r="A485" i="7"/>
  <c r="R484" i="7"/>
  <c r="Q484" i="7"/>
  <c r="P484" i="7"/>
  <c r="O484" i="7"/>
  <c r="N484" i="7"/>
  <c r="B484" i="7"/>
  <c r="A484" i="7"/>
  <c r="R483" i="7"/>
  <c r="Q483" i="7"/>
  <c r="P483" i="7"/>
  <c r="O483" i="7"/>
  <c r="N483" i="7"/>
  <c r="B483" i="7"/>
  <c r="A483" i="7"/>
  <c r="R482" i="7"/>
  <c r="Q482" i="7"/>
  <c r="P482" i="7"/>
  <c r="O482" i="7"/>
  <c r="N482" i="7"/>
  <c r="B482" i="7"/>
  <c r="A482" i="7"/>
  <c r="R481" i="7"/>
  <c r="Q481" i="7"/>
  <c r="P481" i="7"/>
  <c r="O481" i="7"/>
  <c r="N481" i="7"/>
  <c r="B481" i="7"/>
  <c r="A481" i="7"/>
  <c r="R480" i="7"/>
  <c r="Q480" i="7"/>
  <c r="P480" i="7"/>
  <c r="O480" i="7"/>
  <c r="N480" i="7"/>
  <c r="B480" i="7"/>
  <c r="A480" i="7"/>
  <c r="R479" i="7"/>
  <c r="Q479" i="7"/>
  <c r="P479" i="7"/>
  <c r="O479" i="7"/>
  <c r="N479" i="7"/>
  <c r="B479" i="7"/>
  <c r="A479" i="7"/>
  <c r="R478" i="7"/>
  <c r="Q478" i="7"/>
  <c r="P478" i="7"/>
  <c r="O478" i="7"/>
  <c r="N478" i="7"/>
  <c r="B478" i="7"/>
  <c r="A478" i="7"/>
  <c r="R477" i="7"/>
  <c r="Q477" i="7"/>
  <c r="P477" i="7"/>
  <c r="O477" i="7"/>
  <c r="N477" i="7"/>
  <c r="B477" i="7"/>
  <c r="A477" i="7"/>
  <c r="R476" i="7"/>
  <c r="Q476" i="7"/>
  <c r="P476" i="7"/>
  <c r="O476" i="7"/>
  <c r="N476" i="7"/>
  <c r="B476" i="7"/>
  <c r="A476" i="7"/>
  <c r="R475" i="7"/>
  <c r="Q475" i="7"/>
  <c r="P475" i="7"/>
  <c r="O475" i="7"/>
  <c r="N475" i="7"/>
  <c r="B475" i="7"/>
  <c r="A475" i="7"/>
  <c r="R474" i="7"/>
  <c r="Q474" i="7"/>
  <c r="P474" i="7"/>
  <c r="O474" i="7"/>
  <c r="N474" i="7"/>
  <c r="B474" i="7"/>
  <c r="A474" i="7"/>
  <c r="R473" i="7"/>
  <c r="Q473" i="7"/>
  <c r="P473" i="7"/>
  <c r="O473" i="7"/>
  <c r="N473" i="7"/>
  <c r="B473" i="7"/>
  <c r="A473" i="7"/>
  <c r="R472" i="7"/>
  <c r="Q472" i="7"/>
  <c r="P472" i="7"/>
  <c r="O472" i="7"/>
  <c r="N472" i="7"/>
  <c r="B472" i="7"/>
  <c r="A472" i="7"/>
  <c r="R471" i="7"/>
  <c r="Q471" i="7"/>
  <c r="P471" i="7"/>
  <c r="O471" i="7"/>
  <c r="N471" i="7"/>
  <c r="B471" i="7"/>
  <c r="A471" i="7"/>
  <c r="R470" i="7"/>
  <c r="Q470" i="7"/>
  <c r="P470" i="7"/>
  <c r="O470" i="7"/>
  <c r="N470" i="7"/>
  <c r="B470" i="7"/>
  <c r="A470" i="7"/>
  <c r="R469" i="7"/>
  <c r="Q469" i="7"/>
  <c r="P469" i="7"/>
  <c r="O469" i="7"/>
  <c r="N469" i="7"/>
  <c r="B469" i="7"/>
  <c r="A469" i="7"/>
  <c r="R468" i="7"/>
  <c r="Q468" i="7"/>
  <c r="P468" i="7"/>
  <c r="O468" i="7"/>
  <c r="N468" i="7"/>
  <c r="B468" i="7"/>
  <c r="A468" i="7"/>
  <c r="R467" i="7"/>
  <c r="Q467" i="7"/>
  <c r="P467" i="7"/>
  <c r="O467" i="7"/>
  <c r="N467" i="7"/>
  <c r="B467" i="7"/>
  <c r="A467" i="7"/>
  <c r="R466" i="7"/>
  <c r="Q466" i="7"/>
  <c r="P466" i="7"/>
  <c r="O466" i="7"/>
  <c r="N466" i="7"/>
  <c r="B466" i="7"/>
  <c r="A466" i="7"/>
  <c r="R465" i="7"/>
  <c r="Q465" i="7"/>
  <c r="P465" i="7"/>
  <c r="O465" i="7"/>
  <c r="N465" i="7"/>
  <c r="B465" i="7"/>
  <c r="A465" i="7"/>
  <c r="R464" i="7"/>
  <c r="Q464" i="7"/>
  <c r="P464" i="7"/>
  <c r="O464" i="7"/>
  <c r="N464" i="7"/>
  <c r="B464" i="7"/>
  <c r="A464" i="7"/>
  <c r="R463" i="7"/>
  <c r="Q463" i="7"/>
  <c r="P463" i="7"/>
  <c r="O463" i="7"/>
  <c r="N463" i="7"/>
  <c r="B463" i="7"/>
  <c r="A463" i="7"/>
  <c r="R462" i="7"/>
  <c r="Q462" i="7"/>
  <c r="P462" i="7"/>
  <c r="O462" i="7"/>
  <c r="N462" i="7"/>
  <c r="B462" i="7"/>
  <c r="A462" i="7"/>
  <c r="R461" i="7"/>
  <c r="Q461" i="7"/>
  <c r="P461" i="7"/>
  <c r="O461" i="7"/>
  <c r="N461" i="7"/>
  <c r="B461" i="7"/>
  <c r="A461" i="7"/>
  <c r="R460" i="7"/>
  <c r="Q460" i="7"/>
  <c r="P460" i="7"/>
  <c r="O460" i="7"/>
  <c r="N460" i="7"/>
  <c r="B460" i="7"/>
  <c r="A460" i="7"/>
  <c r="R459" i="7"/>
  <c r="Q459" i="7"/>
  <c r="P459" i="7"/>
  <c r="O459" i="7"/>
  <c r="N459" i="7"/>
  <c r="B459" i="7"/>
  <c r="A459" i="7"/>
  <c r="R458" i="7"/>
  <c r="Q458" i="7"/>
  <c r="P458" i="7"/>
  <c r="O458" i="7"/>
  <c r="N458" i="7"/>
  <c r="B458" i="7"/>
  <c r="A458" i="7"/>
  <c r="R457" i="7"/>
  <c r="Q457" i="7"/>
  <c r="P457" i="7"/>
  <c r="O457" i="7"/>
  <c r="N457" i="7"/>
  <c r="B457" i="7"/>
  <c r="A457" i="7"/>
  <c r="R456" i="7"/>
  <c r="Q456" i="7"/>
  <c r="P456" i="7"/>
  <c r="O456" i="7"/>
  <c r="N456" i="7"/>
  <c r="B456" i="7"/>
  <c r="A456" i="7"/>
  <c r="R455" i="7"/>
  <c r="Q455" i="7"/>
  <c r="P455" i="7"/>
  <c r="O455" i="7"/>
  <c r="N455" i="7"/>
  <c r="B455" i="7"/>
  <c r="A455" i="7"/>
  <c r="R454" i="7"/>
  <c r="Q454" i="7"/>
  <c r="P454" i="7"/>
  <c r="O454" i="7"/>
  <c r="N454" i="7"/>
  <c r="B454" i="7"/>
  <c r="A454" i="7"/>
  <c r="R453" i="7"/>
  <c r="Q453" i="7"/>
  <c r="P453" i="7"/>
  <c r="O453" i="7"/>
  <c r="N453" i="7"/>
  <c r="B453" i="7"/>
  <c r="A453" i="7"/>
  <c r="R452" i="7"/>
  <c r="Q452" i="7"/>
  <c r="P452" i="7"/>
  <c r="O452" i="7"/>
  <c r="N452" i="7"/>
  <c r="B452" i="7"/>
  <c r="A452" i="7"/>
  <c r="R451" i="7"/>
  <c r="Q451" i="7"/>
  <c r="P451" i="7"/>
  <c r="O451" i="7"/>
  <c r="N451" i="7"/>
  <c r="B451" i="7"/>
  <c r="A451" i="7"/>
  <c r="R450" i="7"/>
  <c r="Q450" i="7"/>
  <c r="P450" i="7"/>
  <c r="O450" i="7"/>
  <c r="N450" i="7"/>
  <c r="B450" i="7"/>
  <c r="A450" i="7"/>
  <c r="R449" i="7"/>
  <c r="Q449" i="7"/>
  <c r="P449" i="7"/>
  <c r="O449" i="7"/>
  <c r="N449" i="7"/>
  <c r="B449" i="7"/>
  <c r="A449" i="7"/>
  <c r="R448" i="7"/>
  <c r="Q448" i="7"/>
  <c r="P448" i="7"/>
  <c r="O448" i="7"/>
  <c r="N448" i="7"/>
  <c r="B448" i="7"/>
  <c r="A448" i="7"/>
  <c r="R447" i="7"/>
  <c r="Q447" i="7"/>
  <c r="P447" i="7"/>
  <c r="O447" i="7"/>
  <c r="N447" i="7"/>
  <c r="B447" i="7"/>
  <c r="A447" i="7"/>
  <c r="R446" i="7"/>
  <c r="Q446" i="7"/>
  <c r="P446" i="7"/>
  <c r="O446" i="7"/>
  <c r="N446" i="7"/>
  <c r="B446" i="7"/>
  <c r="A446" i="7"/>
  <c r="R445" i="7"/>
  <c r="Q445" i="7"/>
  <c r="P445" i="7"/>
  <c r="O445" i="7"/>
  <c r="N445" i="7"/>
  <c r="B445" i="7"/>
  <c r="A445" i="7"/>
  <c r="R444" i="7"/>
  <c r="Q444" i="7"/>
  <c r="P444" i="7"/>
  <c r="O444" i="7"/>
  <c r="N444" i="7"/>
  <c r="B444" i="7"/>
  <c r="A444" i="7"/>
  <c r="R443" i="7"/>
  <c r="Q443" i="7"/>
  <c r="P443" i="7"/>
  <c r="O443" i="7"/>
  <c r="N443" i="7"/>
  <c r="B443" i="7"/>
  <c r="A443" i="7"/>
  <c r="R442" i="7"/>
  <c r="Q442" i="7"/>
  <c r="P442" i="7"/>
  <c r="O442" i="7"/>
  <c r="N442" i="7"/>
  <c r="B442" i="7"/>
  <c r="A442" i="7"/>
  <c r="R441" i="7"/>
  <c r="Q441" i="7"/>
  <c r="P441" i="7"/>
  <c r="O441" i="7"/>
  <c r="N441" i="7"/>
  <c r="B441" i="7"/>
  <c r="A441" i="7"/>
  <c r="R440" i="7"/>
  <c r="Q440" i="7"/>
  <c r="P440" i="7"/>
  <c r="O440" i="7"/>
  <c r="N440" i="7"/>
  <c r="B440" i="7"/>
  <c r="A440" i="7"/>
  <c r="R439" i="7"/>
  <c r="Q439" i="7"/>
  <c r="P439" i="7"/>
  <c r="O439" i="7"/>
  <c r="N439" i="7"/>
  <c r="B439" i="7"/>
  <c r="A439" i="7"/>
  <c r="R438" i="7"/>
  <c r="Q438" i="7"/>
  <c r="P438" i="7"/>
  <c r="O438" i="7"/>
  <c r="N438" i="7"/>
  <c r="B438" i="7"/>
  <c r="A438" i="7"/>
  <c r="R437" i="7"/>
  <c r="Q437" i="7"/>
  <c r="P437" i="7"/>
  <c r="O437" i="7"/>
  <c r="N437" i="7"/>
  <c r="B437" i="7"/>
  <c r="A437" i="7"/>
  <c r="R436" i="7"/>
  <c r="Q436" i="7"/>
  <c r="P436" i="7"/>
  <c r="O436" i="7"/>
  <c r="N436" i="7"/>
  <c r="B436" i="7"/>
  <c r="A436" i="7"/>
  <c r="R435" i="7"/>
  <c r="Q435" i="7"/>
  <c r="P435" i="7"/>
  <c r="O435" i="7"/>
  <c r="N435" i="7"/>
  <c r="B435" i="7"/>
  <c r="A435" i="7"/>
  <c r="R434" i="7"/>
  <c r="Q434" i="7"/>
  <c r="P434" i="7"/>
  <c r="O434" i="7"/>
  <c r="N434" i="7"/>
  <c r="B434" i="7"/>
  <c r="A434" i="7"/>
  <c r="R433" i="7"/>
  <c r="Q433" i="7"/>
  <c r="P433" i="7"/>
  <c r="O433" i="7"/>
  <c r="N433" i="7"/>
  <c r="B433" i="7"/>
  <c r="A433" i="7"/>
  <c r="R432" i="7"/>
  <c r="Q432" i="7"/>
  <c r="P432" i="7"/>
  <c r="O432" i="7"/>
  <c r="N432" i="7"/>
  <c r="B432" i="7"/>
  <c r="A432" i="7"/>
  <c r="R431" i="7"/>
  <c r="Q431" i="7"/>
  <c r="P431" i="7"/>
  <c r="O431" i="7"/>
  <c r="N431" i="7"/>
  <c r="B431" i="7"/>
  <c r="A431" i="7"/>
  <c r="R430" i="7"/>
  <c r="Q430" i="7"/>
  <c r="P430" i="7"/>
  <c r="O430" i="7"/>
  <c r="N430" i="7"/>
  <c r="B430" i="7"/>
  <c r="A430" i="7"/>
  <c r="R429" i="7"/>
  <c r="Q429" i="7"/>
  <c r="P429" i="7"/>
  <c r="O429" i="7"/>
  <c r="N429" i="7"/>
  <c r="B429" i="7"/>
  <c r="A429" i="7"/>
  <c r="R428" i="7"/>
  <c r="Q428" i="7"/>
  <c r="P428" i="7"/>
  <c r="O428" i="7"/>
  <c r="N428" i="7"/>
  <c r="B428" i="7"/>
  <c r="A428" i="7"/>
  <c r="R427" i="7"/>
  <c r="Q427" i="7"/>
  <c r="P427" i="7"/>
  <c r="O427" i="7"/>
  <c r="N427" i="7"/>
  <c r="B427" i="7"/>
  <c r="A427" i="7"/>
  <c r="R426" i="7"/>
  <c r="Q426" i="7"/>
  <c r="P426" i="7"/>
  <c r="O426" i="7"/>
  <c r="N426" i="7"/>
  <c r="B426" i="7"/>
  <c r="A426" i="7"/>
  <c r="R425" i="7"/>
  <c r="Q425" i="7"/>
  <c r="P425" i="7"/>
  <c r="O425" i="7"/>
  <c r="N425" i="7"/>
  <c r="B425" i="7"/>
  <c r="A425" i="7"/>
  <c r="R424" i="7"/>
  <c r="Q424" i="7"/>
  <c r="P424" i="7"/>
  <c r="O424" i="7"/>
  <c r="N424" i="7"/>
  <c r="B424" i="7"/>
  <c r="A424" i="7"/>
  <c r="R423" i="7"/>
  <c r="Q423" i="7"/>
  <c r="P423" i="7"/>
  <c r="O423" i="7"/>
  <c r="N423" i="7"/>
  <c r="B423" i="7"/>
  <c r="A423" i="7"/>
  <c r="R422" i="7"/>
  <c r="Q422" i="7"/>
  <c r="P422" i="7"/>
  <c r="O422" i="7"/>
  <c r="N422" i="7"/>
  <c r="B422" i="7"/>
  <c r="A422" i="7"/>
  <c r="R421" i="7"/>
  <c r="Q421" i="7"/>
  <c r="P421" i="7"/>
  <c r="O421" i="7"/>
  <c r="N421" i="7"/>
  <c r="B421" i="7"/>
  <c r="A421" i="7"/>
  <c r="R420" i="7"/>
  <c r="Q420" i="7"/>
  <c r="P420" i="7"/>
  <c r="O420" i="7"/>
  <c r="N420" i="7"/>
  <c r="B420" i="7"/>
  <c r="A420" i="7"/>
  <c r="R419" i="7"/>
  <c r="Q419" i="7"/>
  <c r="P419" i="7"/>
  <c r="O419" i="7"/>
  <c r="N419" i="7"/>
  <c r="B419" i="7"/>
  <c r="A419" i="7"/>
  <c r="R418" i="7"/>
  <c r="Q418" i="7"/>
  <c r="P418" i="7"/>
  <c r="O418" i="7"/>
  <c r="N418" i="7"/>
  <c r="B418" i="7"/>
  <c r="A418" i="7"/>
  <c r="R417" i="7"/>
  <c r="Q417" i="7"/>
  <c r="P417" i="7"/>
  <c r="O417" i="7"/>
  <c r="N417" i="7"/>
  <c r="B417" i="7"/>
  <c r="A417" i="7"/>
  <c r="R416" i="7"/>
  <c r="Q416" i="7"/>
  <c r="P416" i="7"/>
  <c r="O416" i="7"/>
  <c r="N416" i="7"/>
  <c r="B416" i="7"/>
  <c r="A416" i="7"/>
  <c r="R415" i="7"/>
  <c r="Q415" i="7"/>
  <c r="P415" i="7"/>
  <c r="O415" i="7"/>
  <c r="N415" i="7"/>
  <c r="B415" i="7"/>
  <c r="A415" i="7"/>
  <c r="R414" i="7"/>
  <c r="Q414" i="7"/>
  <c r="P414" i="7"/>
  <c r="O414" i="7"/>
  <c r="N414" i="7"/>
  <c r="B414" i="7"/>
  <c r="A414" i="7"/>
  <c r="R413" i="7"/>
  <c r="Q413" i="7"/>
  <c r="P413" i="7"/>
  <c r="O413" i="7"/>
  <c r="N413" i="7"/>
  <c r="B413" i="7"/>
  <c r="A413" i="7"/>
  <c r="R412" i="7"/>
  <c r="Q412" i="7"/>
  <c r="P412" i="7"/>
  <c r="O412" i="7"/>
  <c r="N412" i="7"/>
  <c r="B412" i="7"/>
  <c r="A412" i="7"/>
  <c r="R411" i="7"/>
  <c r="Q411" i="7"/>
  <c r="P411" i="7"/>
  <c r="O411" i="7"/>
  <c r="N411" i="7"/>
  <c r="B411" i="7"/>
  <c r="A411" i="7"/>
  <c r="R410" i="7"/>
  <c r="Q410" i="7"/>
  <c r="P410" i="7"/>
  <c r="O410" i="7"/>
  <c r="N410" i="7"/>
  <c r="B410" i="7"/>
  <c r="A410" i="7"/>
  <c r="R409" i="7"/>
  <c r="Q409" i="7"/>
  <c r="P409" i="7"/>
  <c r="O409" i="7"/>
  <c r="N409" i="7"/>
  <c r="B409" i="7"/>
  <c r="A409" i="7"/>
  <c r="R408" i="7"/>
  <c r="Q408" i="7"/>
  <c r="P408" i="7"/>
  <c r="O408" i="7"/>
  <c r="N408" i="7"/>
  <c r="B408" i="7"/>
  <c r="A408" i="7"/>
  <c r="R407" i="7"/>
  <c r="Q407" i="7"/>
  <c r="P407" i="7"/>
  <c r="O407" i="7"/>
  <c r="N407" i="7"/>
  <c r="B407" i="7"/>
  <c r="A407" i="7"/>
  <c r="R406" i="7"/>
  <c r="Q406" i="7"/>
  <c r="P406" i="7"/>
  <c r="O406" i="7"/>
  <c r="N406" i="7"/>
  <c r="B406" i="7"/>
  <c r="A406" i="7"/>
  <c r="R405" i="7"/>
  <c r="Q405" i="7"/>
  <c r="P405" i="7"/>
  <c r="O405" i="7"/>
  <c r="N405" i="7"/>
  <c r="B405" i="7"/>
  <c r="A405" i="7"/>
  <c r="R404" i="7"/>
  <c r="Q404" i="7"/>
  <c r="P404" i="7"/>
  <c r="O404" i="7"/>
  <c r="N404" i="7"/>
  <c r="B404" i="7"/>
  <c r="A404" i="7"/>
  <c r="R403" i="7"/>
  <c r="Q403" i="7"/>
  <c r="P403" i="7"/>
  <c r="O403" i="7"/>
  <c r="N403" i="7"/>
  <c r="B403" i="7"/>
  <c r="A403" i="7"/>
  <c r="R402" i="7"/>
  <c r="Q402" i="7"/>
  <c r="P402" i="7"/>
  <c r="O402" i="7"/>
  <c r="N402" i="7"/>
  <c r="B402" i="7"/>
  <c r="A402" i="7"/>
  <c r="R401" i="7"/>
  <c r="Q401" i="7"/>
  <c r="P401" i="7"/>
  <c r="O401" i="7"/>
  <c r="N401" i="7"/>
  <c r="B401" i="7"/>
  <c r="A401" i="7"/>
  <c r="R400" i="7"/>
  <c r="Q400" i="7"/>
  <c r="P400" i="7"/>
  <c r="O400" i="7"/>
  <c r="N400" i="7"/>
  <c r="B400" i="7"/>
  <c r="A400" i="7"/>
  <c r="R399" i="7"/>
  <c r="Q399" i="7"/>
  <c r="P399" i="7"/>
  <c r="O399" i="7"/>
  <c r="N399" i="7"/>
  <c r="B399" i="7"/>
  <c r="A399" i="7"/>
  <c r="R398" i="7"/>
  <c r="Q398" i="7"/>
  <c r="P398" i="7"/>
  <c r="O398" i="7"/>
  <c r="N398" i="7"/>
  <c r="B398" i="7"/>
  <c r="A398" i="7"/>
  <c r="R397" i="7"/>
  <c r="Q397" i="7"/>
  <c r="P397" i="7"/>
  <c r="O397" i="7"/>
  <c r="N397" i="7"/>
  <c r="B397" i="7"/>
  <c r="A397" i="7"/>
  <c r="R396" i="7"/>
  <c r="Q396" i="7"/>
  <c r="P396" i="7"/>
  <c r="O396" i="7"/>
  <c r="N396" i="7"/>
  <c r="B396" i="7"/>
  <c r="A396" i="7"/>
  <c r="R395" i="7"/>
  <c r="Q395" i="7"/>
  <c r="P395" i="7"/>
  <c r="O395" i="7"/>
  <c r="N395" i="7"/>
  <c r="B395" i="7"/>
  <c r="A395" i="7"/>
  <c r="R394" i="7"/>
  <c r="Q394" i="7"/>
  <c r="P394" i="7"/>
  <c r="O394" i="7"/>
  <c r="N394" i="7"/>
  <c r="B394" i="7"/>
  <c r="A394" i="7"/>
  <c r="R393" i="7"/>
  <c r="Q393" i="7"/>
  <c r="P393" i="7"/>
  <c r="O393" i="7"/>
  <c r="N393" i="7"/>
  <c r="B393" i="7"/>
  <c r="A393" i="7"/>
  <c r="R392" i="7"/>
  <c r="Q392" i="7"/>
  <c r="P392" i="7"/>
  <c r="O392" i="7"/>
  <c r="N392" i="7"/>
  <c r="B392" i="7"/>
  <c r="A392" i="7"/>
  <c r="R391" i="7"/>
  <c r="Q391" i="7"/>
  <c r="P391" i="7"/>
  <c r="O391" i="7"/>
  <c r="N391" i="7"/>
  <c r="B391" i="7"/>
  <c r="A391" i="7"/>
  <c r="R390" i="7"/>
  <c r="Q390" i="7"/>
  <c r="P390" i="7"/>
  <c r="O390" i="7"/>
  <c r="N390" i="7"/>
  <c r="B390" i="7"/>
  <c r="A390" i="7"/>
  <c r="R389" i="7"/>
  <c r="Q389" i="7"/>
  <c r="P389" i="7"/>
  <c r="O389" i="7"/>
  <c r="N389" i="7"/>
  <c r="B389" i="7"/>
  <c r="A389" i="7"/>
  <c r="R388" i="7"/>
  <c r="Q388" i="7"/>
  <c r="P388" i="7"/>
  <c r="O388" i="7"/>
  <c r="N388" i="7"/>
  <c r="B388" i="7"/>
  <c r="A388" i="7"/>
  <c r="R387" i="7"/>
  <c r="Q387" i="7"/>
  <c r="P387" i="7"/>
  <c r="O387" i="7"/>
  <c r="N387" i="7"/>
  <c r="B387" i="7"/>
  <c r="A387" i="7"/>
  <c r="R386" i="7"/>
  <c r="Q386" i="7"/>
  <c r="P386" i="7"/>
  <c r="O386" i="7"/>
  <c r="N386" i="7"/>
  <c r="B386" i="7"/>
  <c r="A386" i="7"/>
  <c r="R385" i="7"/>
  <c r="Q385" i="7"/>
  <c r="P385" i="7"/>
  <c r="O385" i="7"/>
  <c r="N385" i="7"/>
  <c r="B385" i="7"/>
  <c r="A385" i="7"/>
  <c r="R384" i="7"/>
  <c r="Q384" i="7"/>
  <c r="P384" i="7"/>
  <c r="O384" i="7"/>
  <c r="N384" i="7"/>
  <c r="B384" i="7"/>
  <c r="A384" i="7"/>
  <c r="R383" i="7"/>
  <c r="Q383" i="7"/>
  <c r="P383" i="7"/>
  <c r="O383" i="7"/>
  <c r="N383" i="7"/>
  <c r="B383" i="7"/>
  <c r="A383" i="7"/>
  <c r="R382" i="7"/>
  <c r="Q382" i="7"/>
  <c r="P382" i="7"/>
  <c r="O382" i="7"/>
  <c r="N382" i="7"/>
  <c r="B382" i="7"/>
  <c r="A382" i="7"/>
  <c r="R381" i="7"/>
  <c r="Q381" i="7"/>
  <c r="P381" i="7"/>
  <c r="O381" i="7"/>
  <c r="N381" i="7"/>
  <c r="B381" i="7"/>
  <c r="A381" i="7"/>
  <c r="R380" i="7"/>
  <c r="Q380" i="7"/>
  <c r="P380" i="7"/>
  <c r="O380" i="7"/>
  <c r="N380" i="7"/>
  <c r="B380" i="7"/>
  <c r="A380" i="7"/>
  <c r="R379" i="7"/>
  <c r="Q379" i="7"/>
  <c r="P379" i="7"/>
  <c r="O379" i="7"/>
  <c r="N379" i="7"/>
  <c r="B379" i="7"/>
  <c r="A379" i="7"/>
  <c r="R378" i="7"/>
  <c r="Q378" i="7"/>
  <c r="P378" i="7"/>
  <c r="O378" i="7"/>
  <c r="N378" i="7"/>
  <c r="B378" i="7"/>
  <c r="A378" i="7"/>
  <c r="R377" i="7"/>
  <c r="Q377" i="7"/>
  <c r="P377" i="7"/>
  <c r="O377" i="7"/>
  <c r="N377" i="7"/>
  <c r="B377" i="7"/>
  <c r="A377" i="7"/>
  <c r="R376" i="7"/>
  <c r="Q376" i="7"/>
  <c r="P376" i="7"/>
  <c r="O376" i="7"/>
  <c r="N376" i="7"/>
  <c r="B376" i="7"/>
  <c r="A376" i="7"/>
  <c r="R375" i="7"/>
  <c r="Q375" i="7"/>
  <c r="P375" i="7"/>
  <c r="O375" i="7"/>
  <c r="N375" i="7"/>
  <c r="B375" i="7"/>
  <c r="A375" i="7"/>
  <c r="R374" i="7"/>
  <c r="Q374" i="7"/>
  <c r="P374" i="7"/>
  <c r="O374" i="7"/>
  <c r="N374" i="7"/>
  <c r="B374" i="7"/>
  <c r="A374" i="7"/>
  <c r="R373" i="7"/>
  <c r="Q373" i="7"/>
  <c r="P373" i="7"/>
  <c r="O373" i="7"/>
  <c r="N373" i="7"/>
  <c r="B373" i="7"/>
  <c r="A373" i="7"/>
  <c r="R372" i="7"/>
  <c r="Q372" i="7"/>
  <c r="P372" i="7"/>
  <c r="O372" i="7"/>
  <c r="N372" i="7"/>
  <c r="B372" i="7"/>
  <c r="A372" i="7"/>
  <c r="R371" i="7"/>
  <c r="Q371" i="7"/>
  <c r="P371" i="7"/>
  <c r="O371" i="7"/>
  <c r="N371" i="7"/>
  <c r="B371" i="7"/>
  <c r="A371" i="7"/>
  <c r="R370" i="7"/>
  <c r="Q370" i="7"/>
  <c r="P370" i="7"/>
  <c r="O370" i="7"/>
  <c r="N370" i="7"/>
  <c r="B370" i="7"/>
  <c r="A370" i="7"/>
  <c r="R369" i="7"/>
  <c r="Q369" i="7"/>
  <c r="P369" i="7"/>
  <c r="O369" i="7"/>
  <c r="N369" i="7"/>
  <c r="B369" i="7"/>
  <c r="A369" i="7"/>
  <c r="R368" i="7"/>
  <c r="Q368" i="7"/>
  <c r="P368" i="7"/>
  <c r="O368" i="7"/>
  <c r="N368" i="7"/>
  <c r="B368" i="7"/>
  <c r="A368" i="7"/>
  <c r="R367" i="7"/>
  <c r="Q367" i="7"/>
  <c r="P367" i="7"/>
  <c r="O367" i="7"/>
  <c r="N367" i="7"/>
  <c r="B367" i="7"/>
  <c r="A367" i="7"/>
  <c r="R366" i="7"/>
  <c r="Q366" i="7"/>
  <c r="P366" i="7"/>
  <c r="O366" i="7"/>
  <c r="N366" i="7"/>
  <c r="B366" i="7"/>
  <c r="A366" i="7"/>
  <c r="R365" i="7"/>
  <c r="Q365" i="7"/>
  <c r="P365" i="7"/>
  <c r="O365" i="7"/>
  <c r="N365" i="7"/>
  <c r="B365" i="7"/>
  <c r="A365" i="7"/>
  <c r="R364" i="7"/>
  <c r="Q364" i="7"/>
  <c r="P364" i="7"/>
  <c r="O364" i="7"/>
  <c r="N364" i="7"/>
  <c r="B364" i="7"/>
  <c r="A364" i="7"/>
  <c r="R363" i="7"/>
  <c r="Q363" i="7"/>
  <c r="P363" i="7"/>
  <c r="O363" i="7"/>
  <c r="N363" i="7"/>
  <c r="B363" i="7"/>
  <c r="A363" i="7"/>
  <c r="R362" i="7"/>
  <c r="Q362" i="7"/>
  <c r="P362" i="7"/>
  <c r="O362" i="7"/>
  <c r="N362" i="7"/>
  <c r="B362" i="7"/>
  <c r="A362" i="7"/>
  <c r="R361" i="7"/>
  <c r="Q361" i="7"/>
  <c r="P361" i="7"/>
  <c r="O361" i="7"/>
  <c r="N361" i="7"/>
  <c r="B361" i="7"/>
  <c r="A361" i="7"/>
  <c r="R360" i="7"/>
  <c r="Q360" i="7"/>
  <c r="P360" i="7"/>
  <c r="O360" i="7"/>
  <c r="N360" i="7"/>
  <c r="B360" i="7"/>
  <c r="A360" i="7"/>
  <c r="R359" i="7"/>
  <c r="Q359" i="7"/>
  <c r="P359" i="7"/>
  <c r="O359" i="7"/>
  <c r="N359" i="7"/>
  <c r="B359" i="7"/>
  <c r="A359" i="7"/>
  <c r="R358" i="7"/>
  <c r="Q358" i="7"/>
  <c r="P358" i="7"/>
  <c r="O358" i="7"/>
  <c r="N358" i="7"/>
  <c r="B358" i="7"/>
  <c r="A358" i="7"/>
  <c r="R357" i="7"/>
  <c r="Q357" i="7"/>
  <c r="P357" i="7"/>
  <c r="O357" i="7"/>
  <c r="N357" i="7"/>
  <c r="B357" i="7"/>
  <c r="A357" i="7"/>
  <c r="R356" i="7"/>
  <c r="Q356" i="7"/>
  <c r="P356" i="7"/>
  <c r="O356" i="7"/>
  <c r="N356" i="7"/>
  <c r="B356" i="7"/>
  <c r="A356" i="7"/>
  <c r="R355" i="7"/>
  <c r="Q355" i="7"/>
  <c r="P355" i="7"/>
  <c r="O355" i="7"/>
  <c r="N355" i="7"/>
  <c r="B355" i="7"/>
  <c r="A355" i="7"/>
  <c r="R354" i="7"/>
  <c r="Q354" i="7"/>
  <c r="P354" i="7"/>
  <c r="O354" i="7"/>
  <c r="N354" i="7"/>
  <c r="B354" i="7"/>
  <c r="A354" i="7"/>
  <c r="R353" i="7"/>
  <c r="Q353" i="7"/>
  <c r="P353" i="7"/>
  <c r="O353" i="7"/>
  <c r="N353" i="7"/>
  <c r="B353" i="7"/>
  <c r="A353" i="7"/>
  <c r="R352" i="7"/>
  <c r="Q352" i="7"/>
  <c r="P352" i="7"/>
  <c r="O352" i="7"/>
  <c r="N352" i="7"/>
  <c r="B352" i="7"/>
  <c r="A352" i="7"/>
  <c r="R351" i="7"/>
  <c r="Q351" i="7"/>
  <c r="P351" i="7"/>
  <c r="O351" i="7"/>
  <c r="N351" i="7"/>
  <c r="B351" i="7"/>
  <c r="A351" i="7"/>
  <c r="R350" i="7"/>
  <c r="Q350" i="7"/>
  <c r="P350" i="7"/>
  <c r="O350" i="7"/>
  <c r="N350" i="7"/>
  <c r="B350" i="7"/>
  <c r="A350" i="7"/>
  <c r="R349" i="7"/>
  <c r="Q349" i="7"/>
  <c r="P349" i="7"/>
  <c r="O349" i="7"/>
  <c r="N349" i="7"/>
  <c r="B349" i="7"/>
  <c r="A349" i="7"/>
  <c r="R348" i="7"/>
  <c r="Q348" i="7"/>
  <c r="P348" i="7"/>
  <c r="O348" i="7"/>
  <c r="N348" i="7"/>
  <c r="B348" i="7"/>
  <c r="A348" i="7"/>
  <c r="R347" i="7"/>
  <c r="Q347" i="7"/>
  <c r="P347" i="7"/>
  <c r="O347" i="7"/>
  <c r="N347" i="7"/>
  <c r="B347" i="7"/>
  <c r="A347" i="7"/>
  <c r="R346" i="7"/>
  <c r="Q346" i="7"/>
  <c r="P346" i="7"/>
  <c r="O346" i="7"/>
  <c r="N346" i="7"/>
  <c r="B346" i="7"/>
  <c r="A346" i="7"/>
  <c r="R345" i="7"/>
  <c r="Q345" i="7"/>
  <c r="P345" i="7"/>
  <c r="O345" i="7"/>
  <c r="N345" i="7"/>
  <c r="B345" i="7"/>
  <c r="A345" i="7"/>
  <c r="R344" i="7"/>
  <c r="Q344" i="7"/>
  <c r="P344" i="7"/>
  <c r="O344" i="7"/>
  <c r="N344" i="7"/>
  <c r="B344" i="7"/>
  <c r="A344" i="7"/>
  <c r="R343" i="7"/>
  <c r="Q343" i="7"/>
  <c r="P343" i="7"/>
  <c r="O343" i="7"/>
  <c r="N343" i="7"/>
  <c r="B343" i="7"/>
  <c r="A343" i="7"/>
  <c r="R342" i="7"/>
  <c r="Q342" i="7"/>
  <c r="P342" i="7"/>
  <c r="O342" i="7"/>
  <c r="N342" i="7"/>
  <c r="B342" i="7"/>
  <c r="A342" i="7"/>
  <c r="R341" i="7"/>
  <c r="Q341" i="7"/>
  <c r="P341" i="7"/>
  <c r="O341" i="7"/>
  <c r="N341" i="7"/>
  <c r="B341" i="7"/>
  <c r="A341" i="7"/>
  <c r="R340" i="7"/>
  <c r="Q340" i="7"/>
  <c r="P340" i="7"/>
  <c r="O340" i="7"/>
  <c r="N340" i="7"/>
  <c r="B340" i="7"/>
  <c r="A340" i="7"/>
  <c r="R339" i="7"/>
  <c r="Q339" i="7"/>
  <c r="P339" i="7"/>
  <c r="O339" i="7"/>
  <c r="N339" i="7"/>
  <c r="B339" i="7"/>
  <c r="A339" i="7"/>
  <c r="R338" i="7"/>
  <c r="Q338" i="7"/>
  <c r="P338" i="7"/>
  <c r="O338" i="7"/>
  <c r="N338" i="7"/>
  <c r="B338" i="7"/>
  <c r="A338" i="7"/>
  <c r="R337" i="7"/>
  <c r="Q337" i="7"/>
  <c r="P337" i="7"/>
  <c r="O337" i="7"/>
  <c r="N337" i="7"/>
  <c r="B337" i="7"/>
  <c r="A337" i="7"/>
  <c r="R336" i="7"/>
  <c r="Q336" i="7"/>
  <c r="P336" i="7"/>
  <c r="O336" i="7"/>
  <c r="N336" i="7"/>
  <c r="B336" i="7"/>
  <c r="A336" i="7"/>
  <c r="R335" i="7"/>
  <c r="Q335" i="7"/>
  <c r="P335" i="7"/>
  <c r="O335" i="7"/>
  <c r="N335" i="7"/>
  <c r="B335" i="7"/>
  <c r="A335" i="7"/>
  <c r="R334" i="7"/>
  <c r="Q334" i="7"/>
  <c r="P334" i="7"/>
  <c r="O334" i="7"/>
  <c r="N334" i="7"/>
  <c r="B334" i="7"/>
  <c r="A334" i="7"/>
  <c r="R333" i="7"/>
  <c r="Q333" i="7"/>
  <c r="P333" i="7"/>
  <c r="O333" i="7"/>
  <c r="N333" i="7"/>
  <c r="B333" i="7"/>
  <c r="A333" i="7"/>
  <c r="R332" i="7"/>
  <c r="Q332" i="7"/>
  <c r="P332" i="7"/>
  <c r="O332" i="7"/>
  <c r="N332" i="7"/>
  <c r="B332" i="7"/>
  <c r="A332" i="7"/>
  <c r="R331" i="7"/>
  <c r="Q331" i="7"/>
  <c r="P331" i="7"/>
  <c r="O331" i="7"/>
  <c r="N331" i="7"/>
  <c r="B331" i="7"/>
  <c r="A331" i="7"/>
  <c r="R330" i="7"/>
  <c r="Q330" i="7"/>
  <c r="P330" i="7"/>
  <c r="O330" i="7"/>
  <c r="N330" i="7"/>
  <c r="B330" i="7"/>
  <c r="A330" i="7"/>
  <c r="R329" i="7"/>
  <c r="Q329" i="7"/>
  <c r="P329" i="7"/>
  <c r="O329" i="7"/>
  <c r="N329" i="7"/>
  <c r="B329" i="7"/>
  <c r="A329" i="7"/>
  <c r="R328" i="7"/>
  <c r="Q328" i="7"/>
  <c r="P328" i="7"/>
  <c r="O328" i="7"/>
  <c r="N328" i="7"/>
  <c r="B328" i="7"/>
  <c r="A328" i="7"/>
  <c r="R327" i="7"/>
  <c r="Q327" i="7"/>
  <c r="P327" i="7"/>
  <c r="O327" i="7"/>
  <c r="N327" i="7"/>
  <c r="B327" i="7"/>
  <c r="A327" i="7"/>
  <c r="R326" i="7"/>
  <c r="Q326" i="7"/>
  <c r="P326" i="7"/>
  <c r="O326" i="7"/>
  <c r="N326" i="7"/>
  <c r="B326" i="7"/>
  <c r="A326" i="7"/>
  <c r="R325" i="7"/>
  <c r="Q325" i="7"/>
  <c r="P325" i="7"/>
  <c r="O325" i="7"/>
  <c r="N325" i="7"/>
  <c r="B325" i="7"/>
  <c r="A325" i="7"/>
  <c r="R324" i="7"/>
  <c r="Q324" i="7"/>
  <c r="P324" i="7"/>
  <c r="O324" i="7"/>
  <c r="N324" i="7"/>
  <c r="B324" i="7"/>
  <c r="A324" i="7"/>
  <c r="R323" i="7"/>
  <c r="Q323" i="7"/>
  <c r="P323" i="7"/>
  <c r="O323" i="7"/>
  <c r="N323" i="7"/>
  <c r="B323" i="7"/>
  <c r="A323" i="7"/>
  <c r="R322" i="7"/>
  <c r="Q322" i="7"/>
  <c r="P322" i="7"/>
  <c r="O322" i="7"/>
  <c r="N322" i="7"/>
  <c r="B322" i="7"/>
  <c r="A322" i="7"/>
  <c r="R321" i="7"/>
  <c r="Q321" i="7"/>
  <c r="P321" i="7"/>
  <c r="O321" i="7"/>
  <c r="N321" i="7"/>
  <c r="B321" i="7"/>
  <c r="A321" i="7"/>
  <c r="R320" i="7"/>
  <c r="Q320" i="7"/>
  <c r="P320" i="7"/>
  <c r="O320" i="7"/>
  <c r="N320" i="7"/>
  <c r="B320" i="7"/>
  <c r="A320" i="7"/>
  <c r="R319" i="7"/>
  <c r="Q319" i="7"/>
  <c r="P319" i="7"/>
  <c r="O319" i="7"/>
  <c r="N319" i="7"/>
  <c r="B319" i="7"/>
  <c r="A319" i="7"/>
  <c r="R318" i="7"/>
  <c r="Q318" i="7"/>
  <c r="P318" i="7"/>
  <c r="O318" i="7"/>
  <c r="N318" i="7"/>
  <c r="B318" i="7"/>
  <c r="A318" i="7"/>
  <c r="R317" i="7"/>
  <c r="Q317" i="7"/>
  <c r="P317" i="7"/>
  <c r="O317" i="7"/>
  <c r="N317" i="7"/>
  <c r="B317" i="7"/>
  <c r="A317" i="7"/>
  <c r="R316" i="7"/>
  <c r="Q316" i="7"/>
  <c r="P316" i="7"/>
  <c r="O316" i="7"/>
  <c r="N316" i="7"/>
  <c r="B316" i="7"/>
  <c r="A316" i="7"/>
  <c r="R315" i="7"/>
  <c r="Q315" i="7"/>
  <c r="P315" i="7"/>
  <c r="O315" i="7"/>
  <c r="N315" i="7"/>
  <c r="B315" i="7"/>
  <c r="A315" i="7"/>
  <c r="R314" i="7"/>
  <c r="Q314" i="7"/>
  <c r="P314" i="7"/>
  <c r="O314" i="7"/>
  <c r="N314" i="7"/>
  <c r="B314" i="7"/>
  <c r="A314" i="7"/>
  <c r="R313" i="7"/>
  <c r="Q313" i="7"/>
  <c r="P313" i="7"/>
  <c r="O313" i="7"/>
  <c r="N313" i="7"/>
  <c r="B313" i="7"/>
  <c r="A313" i="7"/>
  <c r="R312" i="7"/>
  <c r="Q312" i="7"/>
  <c r="P312" i="7"/>
  <c r="O312" i="7"/>
  <c r="N312" i="7"/>
  <c r="B312" i="7"/>
  <c r="A312" i="7"/>
  <c r="R311" i="7"/>
  <c r="Q311" i="7"/>
  <c r="P311" i="7"/>
  <c r="O311" i="7"/>
  <c r="N311" i="7"/>
  <c r="B311" i="7"/>
  <c r="A311" i="7"/>
  <c r="R310" i="7"/>
  <c r="Q310" i="7"/>
  <c r="P310" i="7"/>
  <c r="O310" i="7"/>
  <c r="N310" i="7"/>
  <c r="B310" i="7"/>
  <c r="A310" i="7"/>
  <c r="R309" i="7"/>
  <c r="Q309" i="7"/>
  <c r="P309" i="7"/>
  <c r="O309" i="7"/>
  <c r="N309" i="7"/>
  <c r="B309" i="7"/>
  <c r="A309" i="7"/>
  <c r="R308" i="7"/>
  <c r="Q308" i="7"/>
  <c r="P308" i="7"/>
  <c r="O308" i="7"/>
  <c r="N308" i="7"/>
  <c r="B308" i="7"/>
  <c r="A308" i="7"/>
  <c r="R307" i="7"/>
  <c r="Q307" i="7"/>
  <c r="P307" i="7"/>
  <c r="O307" i="7"/>
  <c r="N307" i="7"/>
  <c r="B307" i="7"/>
  <c r="A307" i="7"/>
  <c r="R306" i="7"/>
  <c r="Q306" i="7"/>
  <c r="P306" i="7"/>
  <c r="O306" i="7"/>
  <c r="N306" i="7"/>
  <c r="B306" i="7"/>
  <c r="A306" i="7"/>
  <c r="R305" i="7"/>
  <c r="Q305" i="7"/>
  <c r="P305" i="7"/>
  <c r="O305" i="7"/>
  <c r="N305" i="7"/>
  <c r="B305" i="7"/>
  <c r="A305" i="7"/>
  <c r="R304" i="7"/>
  <c r="Q304" i="7"/>
  <c r="P304" i="7"/>
  <c r="O304" i="7"/>
  <c r="N304" i="7"/>
  <c r="B304" i="7"/>
  <c r="A304" i="7"/>
  <c r="R303" i="7"/>
  <c r="Q303" i="7"/>
  <c r="P303" i="7"/>
  <c r="O303" i="7"/>
  <c r="N303" i="7"/>
  <c r="B303" i="7"/>
  <c r="A303" i="7"/>
  <c r="R302" i="7"/>
  <c r="Q302" i="7"/>
  <c r="P302" i="7"/>
  <c r="O302" i="7"/>
  <c r="N302" i="7"/>
  <c r="B302" i="7"/>
  <c r="A302" i="7"/>
  <c r="R301" i="7"/>
  <c r="Q301" i="7"/>
  <c r="P301" i="7"/>
  <c r="O301" i="7"/>
  <c r="N301" i="7"/>
  <c r="B301" i="7"/>
  <c r="A301" i="7"/>
  <c r="R300" i="7"/>
  <c r="Q300" i="7"/>
  <c r="P300" i="7"/>
  <c r="O300" i="7"/>
  <c r="N300" i="7"/>
  <c r="B300" i="7"/>
  <c r="A300" i="7"/>
  <c r="R299" i="7"/>
  <c r="Q299" i="7"/>
  <c r="P299" i="7"/>
  <c r="O299" i="7"/>
  <c r="N299" i="7"/>
  <c r="B299" i="7"/>
  <c r="A299" i="7"/>
  <c r="R298" i="7"/>
  <c r="Q298" i="7"/>
  <c r="P298" i="7"/>
  <c r="O298" i="7"/>
  <c r="N298" i="7"/>
  <c r="B298" i="7"/>
  <c r="A298" i="7"/>
  <c r="R297" i="7"/>
  <c r="Q297" i="7"/>
  <c r="P297" i="7"/>
  <c r="O297" i="7"/>
  <c r="N297" i="7"/>
  <c r="B297" i="7"/>
  <c r="A297" i="7"/>
  <c r="R296" i="7"/>
  <c r="Q296" i="7"/>
  <c r="P296" i="7"/>
  <c r="O296" i="7"/>
  <c r="N296" i="7"/>
  <c r="B296" i="7"/>
  <c r="A296" i="7"/>
  <c r="R295" i="7"/>
  <c r="Q295" i="7"/>
  <c r="P295" i="7"/>
  <c r="O295" i="7"/>
  <c r="N295" i="7"/>
  <c r="B295" i="7"/>
  <c r="A295" i="7"/>
  <c r="R294" i="7"/>
  <c r="Q294" i="7"/>
  <c r="P294" i="7"/>
  <c r="O294" i="7"/>
  <c r="N294" i="7"/>
  <c r="B294" i="7"/>
  <c r="A294" i="7"/>
  <c r="R293" i="7"/>
  <c r="Q293" i="7"/>
  <c r="P293" i="7"/>
  <c r="O293" i="7"/>
  <c r="N293" i="7"/>
  <c r="B293" i="7"/>
  <c r="A293" i="7"/>
  <c r="R292" i="7"/>
  <c r="Q292" i="7"/>
  <c r="P292" i="7"/>
  <c r="O292" i="7"/>
  <c r="N292" i="7"/>
  <c r="B292" i="7"/>
  <c r="A292" i="7"/>
  <c r="R291" i="7"/>
  <c r="Q291" i="7"/>
  <c r="P291" i="7"/>
  <c r="O291" i="7"/>
  <c r="N291" i="7"/>
  <c r="B291" i="7"/>
  <c r="A291" i="7"/>
  <c r="R290" i="7"/>
  <c r="Q290" i="7"/>
  <c r="P290" i="7"/>
  <c r="O290" i="7"/>
  <c r="N290" i="7"/>
  <c r="B290" i="7"/>
  <c r="A290" i="7"/>
  <c r="R289" i="7"/>
  <c r="Q289" i="7"/>
  <c r="P289" i="7"/>
  <c r="O289" i="7"/>
  <c r="N289" i="7"/>
  <c r="B289" i="7"/>
  <c r="A289" i="7"/>
  <c r="R288" i="7"/>
  <c r="Q288" i="7"/>
  <c r="P288" i="7"/>
  <c r="O288" i="7"/>
  <c r="N288" i="7"/>
  <c r="B288" i="7"/>
  <c r="A288" i="7"/>
  <c r="R287" i="7"/>
  <c r="Q287" i="7"/>
  <c r="P287" i="7"/>
  <c r="O287" i="7"/>
  <c r="N287" i="7"/>
  <c r="B287" i="7"/>
  <c r="A287" i="7"/>
  <c r="R286" i="7"/>
  <c r="Q286" i="7"/>
  <c r="P286" i="7"/>
  <c r="O286" i="7"/>
  <c r="N286" i="7"/>
  <c r="B286" i="7"/>
  <c r="A286" i="7"/>
  <c r="R285" i="7"/>
  <c r="Q285" i="7"/>
  <c r="P285" i="7"/>
  <c r="O285" i="7"/>
  <c r="N285" i="7"/>
  <c r="B285" i="7"/>
  <c r="A285" i="7"/>
  <c r="R284" i="7"/>
  <c r="Q284" i="7"/>
  <c r="P284" i="7"/>
  <c r="O284" i="7"/>
  <c r="N284" i="7"/>
  <c r="B284" i="7"/>
  <c r="A284" i="7"/>
  <c r="R283" i="7"/>
  <c r="Q283" i="7"/>
  <c r="P283" i="7"/>
  <c r="O283" i="7"/>
  <c r="N283" i="7"/>
  <c r="B283" i="7"/>
  <c r="A283" i="7"/>
  <c r="R282" i="7"/>
  <c r="Q282" i="7"/>
  <c r="P282" i="7"/>
  <c r="O282" i="7"/>
  <c r="N282" i="7"/>
  <c r="B282" i="7"/>
  <c r="A282" i="7"/>
  <c r="R281" i="7"/>
  <c r="Q281" i="7"/>
  <c r="P281" i="7"/>
  <c r="O281" i="7"/>
  <c r="N281" i="7"/>
  <c r="B281" i="7"/>
  <c r="A281" i="7"/>
  <c r="R280" i="7"/>
  <c r="Q280" i="7"/>
  <c r="P280" i="7"/>
  <c r="O280" i="7"/>
  <c r="N280" i="7"/>
  <c r="B280" i="7"/>
  <c r="A280" i="7"/>
  <c r="R279" i="7"/>
  <c r="Q279" i="7"/>
  <c r="P279" i="7"/>
  <c r="O279" i="7"/>
  <c r="N279" i="7"/>
  <c r="B279" i="7"/>
  <c r="A279" i="7"/>
  <c r="R278" i="7"/>
  <c r="Q278" i="7"/>
  <c r="P278" i="7"/>
  <c r="O278" i="7"/>
  <c r="N278" i="7"/>
  <c r="B278" i="7"/>
  <c r="A278" i="7"/>
  <c r="R277" i="7"/>
  <c r="Q277" i="7"/>
  <c r="P277" i="7"/>
  <c r="O277" i="7"/>
  <c r="N277" i="7"/>
  <c r="B277" i="7"/>
  <c r="A277" i="7"/>
  <c r="R276" i="7"/>
  <c r="Q276" i="7"/>
  <c r="P276" i="7"/>
  <c r="O276" i="7"/>
  <c r="N276" i="7"/>
  <c r="B276" i="7"/>
  <c r="A276" i="7"/>
  <c r="R275" i="7"/>
  <c r="Q275" i="7"/>
  <c r="P275" i="7"/>
  <c r="O275" i="7"/>
  <c r="N275" i="7"/>
  <c r="B275" i="7"/>
  <c r="A275" i="7"/>
  <c r="R274" i="7"/>
  <c r="Q274" i="7"/>
  <c r="P274" i="7"/>
  <c r="O274" i="7"/>
  <c r="N274" i="7"/>
  <c r="B274" i="7"/>
  <c r="A274" i="7"/>
  <c r="R273" i="7"/>
  <c r="Q273" i="7"/>
  <c r="P273" i="7"/>
  <c r="O273" i="7"/>
  <c r="N273" i="7"/>
  <c r="B273" i="7"/>
  <c r="A273" i="7"/>
  <c r="R272" i="7"/>
  <c r="Q272" i="7"/>
  <c r="P272" i="7"/>
  <c r="O272" i="7"/>
  <c r="N272" i="7"/>
  <c r="B272" i="7"/>
  <c r="A272" i="7"/>
  <c r="R271" i="7"/>
  <c r="Q271" i="7"/>
  <c r="P271" i="7"/>
  <c r="O271" i="7"/>
  <c r="N271" i="7"/>
  <c r="B271" i="7"/>
  <c r="A271" i="7"/>
  <c r="R270" i="7"/>
  <c r="Q270" i="7"/>
  <c r="P270" i="7"/>
  <c r="O270" i="7"/>
  <c r="N270" i="7"/>
  <c r="B270" i="7"/>
  <c r="A270" i="7"/>
  <c r="R269" i="7"/>
  <c r="Q269" i="7"/>
  <c r="P269" i="7"/>
  <c r="O269" i="7"/>
  <c r="N269" i="7"/>
  <c r="B269" i="7"/>
  <c r="A269" i="7"/>
  <c r="R268" i="7"/>
  <c r="Q268" i="7"/>
  <c r="P268" i="7"/>
  <c r="O268" i="7"/>
  <c r="N268" i="7"/>
  <c r="B268" i="7"/>
  <c r="A268" i="7"/>
  <c r="R267" i="7"/>
  <c r="Q267" i="7"/>
  <c r="P267" i="7"/>
  <c r="O267" i="7"/>
  <c r="N267" i="7"/>
  <c r="B267" i="7"/>
  <c r="A267" i="7"/>
  <c r="R266" i="7"/>
  <c r="Q266" i="7"/>
  <c r="P266" i="7"/>
  <c r="O266" i="7"/>
  <c r="N266" i="7"/>
  <c r="B266" i="7"/>
  <c r="A266" i="7"/>
  <c r="R265" i="7"/>
  <c r="Q265" i="7"/>
  <c r="P265" i="7"/>
  <c r="O265" i="7"/>
  <c r="N265" i="7"/>
  <c r="B265" i="7"/>
  <c r="A265" i="7"/>
  <c r="R264" i="7"/>
  <c r="Q264" i="7"/>
  <c r="P264" i="7"/>
  <c r="O264" i="7"/>
  <c r="N264" i="7"/>
  <c r="B264" i="7"/>
  <c r="A264" i="7"/>
  <c r="R263" i="7"/>
  <c r="Q263" i="7"/>
  <c r="P263" i="7"/>
  <c r="O263" i="7"/>
  <c r="N263" i="7"/>
  <c r="B263" i="7"/>
  <c r="A263" i="7"/>
  <c r="R262" i="7"/>
  <c r="Q262" i="7"/>
  <c r="P262" i="7"/>
  <c r="O262" i="7"/>
  <c r="N262" i="7"/>
  <c r="B262" i="7"/>
  <c r="A262" i="7"/>
  <c r="R261" i="7"/>
  <c r="Q261" i="7"/>
  <c r="P261" i="7"/>
  <c r="O261" i="7"/>
  <c r="N261" i="7"/>
  <c r="B261" i="7"/>
  <c r="A261" i="7"/>
  <c r="R260" i="7"/>
  <c r="Q260" i="7"/>
  <c r="P260" i="7"/>
  <c r="O260" i="7"/>
  <c r="N260" i="7"/>
  <c r="B260" i="7"/>
  <c r="A260" i="7"/>
  <c r="R259" i="7"/>
  <c r="Q259" i="7"/>
  <c r="P259" i="7"/>
  <c r="O259" i="7"/>
  <c r="N259" i="7"/>
  <c r="B259" i="7"/>
  <c r="A259" i="7"/>
  <c r="R258" i="7"/>
  <c r="Q258" i="7"/>
  <c r="P258" i="7"/>
  <c r="O258" i="7"/>
  <c r="N258" i="7"/>
  <c r="B258" i="7"/>
  <c r="A258" i="7"/>
  <c r="R257" i="7"/>
  <c r="Q257" i="7"/>
  <c r="P257" i="7"/>
  <c r="O257" i="7"/>
  <c r="N257" i="7"/>
  <c r="B257" i="7"/>
  <c r="A257" i="7"/>
  <c r="R256" i="7"/>
  <c r="Q256" i="7"/>
  <c r="P256" i="7"/>
  <c r="O256" i="7"/>
  <c r="N256" i="7"/>
  <c r="B256" i="7"/>
  <c r="A256" i="7"/>
  <c r="R255" i="7"/>
  <c r="Q255" i="7"/>
  <c r="P255" i="7"/>
  <c r="O255" i="7"/>
  <c r="N255" i="7"/>
  <c r="B255" i="7"/>
  <c r="A255" i="7"/>
  <c r="R254" i="7"/>
  <c r="Q254" i="7"/>
  <c r="P254" i="7"/>
  <c r="O254" i="7"/>
  <c r="N254" i="7"/>
  <c r="B254" i="7"/>
  <c r="A254" i="7"/>
  <c r="R253" i="7"/>
  <c r="Q253" i="7"/>
  <c r="P253" i="7"/>
  <c r="O253" i="7"/>
  <c r="N253" i="7"/>
  <c r="B253" i="7"/>
  <c r="A253" i="7"/>
  <c r="R252" i="7"/>
  <c r="Q252" i="7"/>
  <c r="P252" i="7"/>
  <c r="O252" i="7"/>
  <c r="N252" i="7"/>
  <c r="B252" i="7"/>
  <c r="A252" i="7"/>
  <c r="R251" i="7"/>
  <c r="Q251" i="7"/>
  <c r="P251" i="7"/>
  <c r="O251" i="7"/>
  <c r="N251" i="7"/>
  <c r="B251" i="7"/>
  <c r="A251" i="7"/>
  <c r="R250" i="7"/>
  <c r="Q250" i="7"/>
  <c r="P250" i="7"/>
  <c r="O250" i="7"/>
  <c r="N250" i="7"/>
  <c r="B250" i="7"/>
  <c r="A250" i="7"/>
  <c r="R249" i="7"/>
  <c r="Q249" i="7"/>
  <c r="P249" i="7"/>
  <c r="O249" i="7"/>
  <c r="N249" i="7"/>
  <c r="B249" i="7"/>
  <c r="A249" i="7"/>
  <c r="R248" i="7"/>
  <c r="Q248" i="7"/>
  <c r="P248" i="7"/>
  <c r="O248" i="7"/>
  <c r="N248" i="7"/>
  <c r="B248" i="7"/>
  <c r="A248" i="7"/>
  <c r="R247" i="7"/>
  <c r="Q247" i="7"/>
  <c r="P247" i="7"/>
  <c r="O247" i="7"/>
  <c r="N247" i="7"/>
  <c r="B247" i="7"/>
  <c r="A247" i="7"/>
  <c r="R246" i="7"/>
  <c r="Q246" i="7"/>
  <c r="P246" i="7"/>
  <c r="O246" i="7"/>
  <c r="N246" i="7"/>
  <c r="B246" i="7"/>
  <c r="A246" i="7"/>
  <c r="R245" i="7"/>
  <c r="Q245" i="7"/>
  <c r="P245" i="7"/>
  <c r="O245" i="7"/>
  <c r="N245" i="7"/>
  <c r="B245" i="7"/>
  <c r="A245" i="7"/>
  <c r="R244" i="7"/>
  <c r="Q244" i="7"/>
  <c r="P244" i="7"/>
  <c r="O244" i="7"/>
  <c r="N244" i="7"/>
  <c r="B244" i="7"/>
  <c r="A244" i="7"/>
  <c r="R243" i="7"/>
  <c r="Q243" i="7"/>
  <c r="P243" i="7"/>
  <c r="O243" i="7"/>
  <c r="N243" i="7"/>
  <c r="B243" i="7"/>
  <c r="A243" i="7"/>
  <c r="R242" i="7"/>
  <c r="Q242" i="7"/>
  <c r="P242" i="7"/>
  <c r="O242" i="7"/>
  <c r="N242" i="7"/>
  <c r="B242" i="7"/>
  <c r="A242" i="7"/>
  <c r="R241" i="7"/>
  <c r="Q241" i="7"/>
  <c r="P241" i="7"/>
  <c r="O241" i="7"/>
  <c r="N241" i="7"/>
  <c r="B241" i="7"/>
  <c r="A241" i="7"/>
  <c r="R240" i="7"/>
  <c r="Q240" i="7"/>
  <c r="P240" i="7"/>
  <c r="O240" i="7"/>
  <c r="N240" i="7"/>
  <c r="B240" i="7"/>
  <c r="A240" i="7"/>
  <c r="R239" i="7"/>
  <c r="Q239" i="7"/>
  <c r="P239" i="7"/>
  <c r="O239" i="7"/>
  <c r="N239" i="7"/>
  <c r="B239" i="7"/>
  <c r="A239" i="7"/>
  <c r="R238" i="7"/>
  <c r="Q238" i="7"/>
  <c r="P238" i="7"/>
  <c r="O238" i="7"/>
  <c r="N238" i="7"/>
  <c r="B238" i="7"/>
  <c r="A238" i="7"/>
  <c r="R237" i="7"/>
  <c r="Q237" i="7"/>
  <c r="P237" i="7"/>
  <c r="O237" i="7"/>
  <c r="N237" i="7"/>
  <c r="B237" i="7"/>
  <c r="A237" i="7"/>
  <c r="R236" i="7"/>
  <c r="Q236" i="7"/>
  <c r="P236" i="7"/>
  <c r="O236" i="7"/>
  <c r="N236" i="7"/>
  <c r="B236" i="7"/>
  <c r="A236" i="7"/>
  <c r="R235" i="7"/>
  <c r="Q235" i="7"/>
  <c r="P235" i="7"/>
  <c r="O235" i="7"/>
  <c r="N235" i="7"/>
  <c r="B235" i="7"/>
  <c r="A235" i="7"/>
  <c r="R234" i="7"/>
  <c r="Q234" i="7"/>
  <c r="P234" i="7"/>
  <c r="O234" i="7"/>
  <c r="N234" i="7"/>
  <c r="B234" i="7"/>
  <c r="A234" i="7"/>
  <c r="R233" i="7"/>
  <c r="Q233" i="7"/>
  <c r="P233" i="7"/>
  <c r="O233" i="7"/>
  <c r="N233" i="7"/>
  <c r="B233" i="7"/>
  <c r="A233" i="7"/>
  <c r="R232" i="7"/>
  <c r="Q232" i="7"/>
  <c r="P232" i="7"/>
  <c r="O232" i="7"/>
  <c r="N232" i="7"/>
  <c r="B232" i="7"/>
  <c r="A232" i="7"/>
  <c r="R231" i="7"/>
  <c r="Q231" i="7"/>
  <c r="P231" i="7"/>
  <c r="O231" i="7"/>
  <c r="N231" i="7"/>
  <c r="B231" i="7"/>
  <c r="A231" i="7"/>
  <c r="R230" i="7"/>
  <c r="Q230" i="7"/>
  <c r="P230" i="7"/>
  <c r="O230" i="7"/>
  <c r="N230" i="7"/>
  <c r="B230" i="7"/>
  <c r="A230" i="7"/>
  <c r="R229" i="7"/>
  <c r="Q229" i="7"/>
  <c r="P229" i="7"/>
  <c r="O229" i="7"/>
  <c r="N229" i="7"/>
  <c r="B229" i="7"/>
  <c r="A229" i="7"/>
  <c r="R228" i="7"/>
  <c r="Q228" i="7"/>
  <c r="P228" i="7"/>
  <c r="O228" i="7"/>
  <c r="N228" i="7"/>
  <c r="B228" i="7"/>
  <c r="A228" i="7"/>
  <c r="R227" i="7"/>
  <c r="Q227" i="7"/>
  <c r="P227" i="7"/>
  <c r="O227" i="7"/>
  <c r="N227" i="7"/>
  <c r="B227" i="7"/>
  <c r="A227" i="7"/>
  <c r="R226" i="7"/>
  <c r="Q226" i="7"/>
  <c r="P226" i="7"/>
  <c r="O226" i="7"/>
  <c r="N226" i="7"/>
  <c r="B226" i="7"/>
  <c r="A226" i="7"/>
  <c r="R225" i="7"/>
  <c r="Q225" i="7"/>
  <c r="P225" i="7"/>
  <c r="O225" i="7"/>
  <c r="N225" i="7"/>
  <c r="B225" i="7"/>
  <c r="A225" i="7"/>
  <c r="R224" i="7"/>
  <c r="Q224" i="7"/>
  <c r="P224" i="7"/>
  <c r="O224" i="7"/>
  <c r="N224" i="7"/>
  <c r="B224" i="7"/>
  <c r="A224" i="7"/>
  <c r="R223" i="7"/>
  <c r="Q223" i="7"/>
  <c r="P223" i="7"/>
  <c r="O223" i="7"/>
  <c r="N223" i="7"/>
  <c r="B223" i="7"/>
  <c r="A223" i="7"/>
  <c r="R222" i="7"/>
  <c r="Q222" i="7"/>
  <c r="P222" i="7"/>
  <c r="O222" i="7"/>
  <c r="N222" i="7"/>
  <c r="B222" i="7"/>
  <c r="A222" i="7"/>
  <c r="R221" i="7"/>
  <c r="Q221" i="7"/>
  <c r="P221" i="7"/>
  <c r="O221" i="7"/>
  <c r="N221" i="7"/>
  <c r="B221" i="7"/>
  <c r="A221" i="7"/>
  <c r="R220" i="7"/>
  <c r="Q220" i="7"/>
  <c r="P220" i="7"/>
  <c r="O220" i="7"/>
  <c r="N220" i="7"/>
  <c r="B220" i="7"/>
  <c r="A220" i="7"/>
  <c r="R219" i="7"/>
  <c r="Q219" i="7"/>
  <c r="P219" i="7"/>
  <c r="O219" i="7"/>
  <c r="N219" i="7"/>
  <c r="B219" i="7"/>
  <c r="A219" i="7"/>
  <c r="R218" i="7"/>
  <c r="Q218" i="7"/>
  <c r="P218" i="7"/>
  <c r="O218" i="7"/>
  <c r="N218" i="7"/>
  <c r="B218" i="7"/>
  <c r="A218" i="7"/>
  <c r="R217" i="7"/>
  <c r="Q217" i="7"/>
  <c r="P217" i="7"/>
  <c r="O217" i="7"/>
  <c r="N217" i="7"/>
  <c r="B217" i="7"/>
  <c r="A217" i="7"/>
  <c r="R216" i="7"/>
  <c r="Q216" i="7"/>
  <c r="P216" i="7"/>
  <c r="O216" i="7"/>
  <c r="N216" i="7"/>
  <c r="B216" i="7"/>
  <c r="A216" i="7"/>
  <c r="R215" i="7"/>
  <c r="Q215" i="7"/>
  <c r="P215" i="7"/>
  <c r="O215" i="7"/>
  <c r="N215" i="7"/>
  <c r="B215" i="7"/>
  <c r="A215" i="7"/>
  <c r="R214" i="7"/>
  <c r="Q214" i="7"/>
  <c r="P214" i="7"/>
  <c r="O214" i="7"/>
  <c r="N214" i="7"/>
  <c r="B214" i="7"/>
  <c r="A214" i="7"/>
  <c r="R213" i="7"/>
  <c r="Q213" i="7"/>
  <c r="P213" i="7"/>
  <c r="O213" i="7"/>
  <c r="N213" i="7"/>
  <c r="B213" i="7"/>
  <c r="A213" i="7"/>
  <c r="R212" i="7"/>
  <c r="Q212" i="7"/>
  <c r="P212" i="7"/>
  <c r="O212" i="7"/>
  <c r="N212" i="7"/>
  <c r="B212" i="7"/>
  <c r="A212" i="7"/>
  <c r="R211" i="7"/>
  <c r="Q211" i="7"/>
  <c r="P211" i="7"/>
  <c r="O211" i="7"/>
  <c r="N211" i="7"/>
  <c r="B211" i="7"/>
  <c r="A211" i="7"/>
  <c r="R210" i="7"/>
  <c r="Q210" i="7"/>
  <c r="P210" i="7"/>
  <c r="O210" i="7"/>
  <c r="N210" i="7"/>
  <c r="B210" i="7"/>
  <c r="A210" i="7"/>
  <c r="R209" i="7"/>
  <c r="Q209" i="7"/>
  <c r="P209" i="7"/>
  <c r="O209" i="7"/>
  <c r="N209" i="7"/>
  <c r="B209" i="7"/>
  <c r="A209" i="7"/>
  <c r="R208" i="7"/>
  <c r="Q208" i="7"/>
  <c r="P208" i="7"/>
  <c r="O208" i="7"/>
  <c r="N208" i="7"/>
  <c r="B208" i="7"/>
  <c r="A208" i="7"/>
  <c r="R207" i="7"/>
  <c r="Q207" i="7"/>
  <c r="P207" i="7"/>
  <c r="O207" i="7"/>
  <c r="N207" i="7"/>
  <c r="B207" i="7"/>
  <c r="A207" i="7"/>
  <c r="R206" i="7"/>
  <c r="Q206" i="7"/>
  <c r="P206" i="7"/>
  <c r="O206" i="7"/>
  <c r="N206" i="7"/>
  <c r="B206" i="7"/>
  <c r="A206" i="7"/>
  <c r="R205" i="7"/>
  <c r="Q205" i="7"/>
  <c r="P205" i="7"/>
  <c r="O205" i="7"/>
  <c r="N205" i="7"/>
  <c r="B205" i="7"/>
  <c r="A205" i="7"/>
  <c r="R204" i="7"/>
  <c r="Q204" i="7"/>
  <c r="P204" i="7"/>
  <c r="O204" i="7"/>
  <c r="N204" i="7"/>
  <c r="B204" i="7"/>
  <c r="A204" i="7"/>
  <c r="R203" i="7"/>
  <c r="Q203" i="7"/>
  <c r="P203" i="7"/>
  <c r="O203" i="7"/>
  <c r="N203" i="7"/>
  <c r="B203" i="7"/>
  <c r="A203" i="7"/>
  <c r="R202" i="7"/>
  <c r="Q202" i="7"/>
  <c r="P202" i="7"/>
  <c r="O202" i="7"/>
  <c r="N202" i="7"/>
  <c r="B202" i="7"/>
  <c r="A202" i="7"/>
  <c r="R201" i="7"/>
  <c r="Q201" i="7"/>
  <c r="P201" i="7"/>
  <c r="O201" i="7"/>
  <c r="N201" i="7"/>
  <c r="B201" i="7"/>
  <c r="A201" i="7"/>
  <c r="R200" i="7"/>
  <c r="Q200" i="7"/>
  <c r="P200" i="7"/>
  <c r="O200" i="7"/>
  <c r="N200" i="7"/>
  <c r="B200" i="7"/>
  <c r="A200" i="7"/>
  <c r="R199" i="7"/>
  <c r="Q199" i="7"/>
  <c r="P199" i="7"/>
  <c r="O199" i="7"/>
  <c r="N199" i="7"/>
  <c r="B199" i="7"/>
  <c r="A199" i="7"/>
  <c r="R198" i="7"/>
  <c r="Q198" i="7"/>
  <c r="P198" i="7"/>
  <c r="O198" i="7"/>
  <c r="N198" i="7"/>
  <c r="B198" i="7"/>
  <c r="A198" i="7"/>
  <c r="R197" i="7"/>
  <c r="Q197" i="7"/>
  <c r="P197" i="7"/>
  <c r="O197" i="7"/>
  <c r="N197" i="7"/>
  <c r="B197" i="7"/>
  <c r="A197" i="7"/>
  <c r="R196" i="7"/>
  <c r="Q196" i="7"/>
  <c r="P196" i="7"/>
  <c r="O196" i="7"/>
  <c r="N196" i="7"/>
  <c r="B196" i="7"/>
  <c r="A196" i="7"/>
  <c r="R195" i="7"/>
  <c r="Q195" i="7"/>
  <c r="P195" i="7"/>
  <c r="O195" i="7"/>
  <c r="N195" i="7"/>
  <c r="B195" i="7"/>
  <c r="A195" i="7"/>
  <c r="R194" i="7"/>
  <c r="Q194" i="7"/>
  <c r="P194" i="7"/>
  <c r="O194" i="7"/>
  <c r="N194" i="7"/>
  <c r="B194" i="7"/>
  <c r="A194" i="7"/>
  <c r="R193" i="7"/>
  <c r="Q193" i="7"/>
  <c r="P193" i="7"/>
  <c r="O193" i="7"/>
  <c r="N193" i="7"/>
  <c r="B193" i="7"/>
  <c r="A193" i="7"/>
  <c r="R192" i="7"/>
  <c r="Q192" i="7"/>
  <c r="P192" i="7"/>
  <c r="O192" i="7"/>
  <c r="N192" i="7"/>
  <c r="B192" i="7"/>
  <c r="A192" i="7"/>
  <c r="R191" i="7"/>
  <c r="Q191" i="7"/>
  <c r="P191" i="7"/>
  <c r="O191" i="7"/>
  <c r="N191" i="7"/>
  <c r="B191" i="7"/>
  <c r="A191" i="7"/>
  <c r="R190" i="7"/>
  <c r="Q190" i="7"/>
  <c r="P190" i="7"/>
  <c r="O190" i="7"/>
  <c r="N190" i="7"/>
  <c r="B190" i="7"/>
  <c r="A190" i="7"/>
  <c r="R189" i="7"/>
  <c r="Q189" i="7"/>
  <c r="P189" i="7"/>
  <c r="O189" i="7"/>
  <c r="N189" i="7"/>
  <c r="B189" i="7"/>
  <c r="A189" i="7"/>
  <c r="R188" i="7"/>
  <c r="Q188" i="7"/>
  <c r="P188" i="7"/>
  <c r="O188" i="7"/>
  <c r="N188" i="7"/>
  <c r="B188" i="7"/>
  <c r="A188" i="7"/>
  <c r="R187" i="7"/>
  <c r="Q187" i="7"/>
  <c r="P187" i="7"/>
  <c r="O187" i="7"/>
  <c r="N187" i="7"/>
  <c r="B187" i="7"/>
  <c r="A187" i="7"/>
  <c r="R186" i="7"/>
  <c r="Q186" i="7"/>
  <c r="P186" i="7"/>
  <c r="O186" i="7"/>
  <c r="N186" i="7"/>
  <c r="B186" i="7"/>
  <c r="A186" i="7"/>
  <c r="R185" i="7"/>
  <c r="Q185" i="7"/>
  <c r="P185" i="7"/>
  <c r="O185" i="7"/>
  <c r="N185" i="7"/>
  <c r="B185" i="7"/>
  <c r="A185" i="7"/>
  <c r="R184" i="7"/>
  <c r="Q184" i="7"/>
  <c r="P184" i="7"/>
  <c r="O184" i="7"/>
  <c r="N184" i="7"/>
  <c r="B184" i="7"/>
  <c r="A184" i="7"/>
  <c r="R183" i="7"/>
  <c r="Q183" i="7"/>
  <c r="P183" i="7"/>
  <c r="O183" i="7"/>
  <c r="N183" i="7"/>
  <c r="B183" i="7"/>
  <c r="A183" i="7"/>
  <c r="R182" i="7"/>
  <c r="Q182" i="7"/>
  <c r="P182" i="7"/>
  <c r="O182" i="7"/>
  <c r="N182" i="7"/>
  <c r="B182" i="7"/>
  <c r="A182" i="7"/>
  <c r="R181" i="7"/>
  <c r="Q181" i="7"/>
  <c r="P181" i="7"/>
  <c r="O181" i="7"/>
  <c r="N181" i="7"/>
  <c r="B181" i="7"/>
  <c r="A181" i="7"/>
  <c r="R180" i="7"/>
  <c r="Q180" i="7"/>
  <c r="P180" i="7"/>
  <c r="O180" i="7"/>
  <c r="N180" i="7"/>
  <c r="B180" i="7"/>
  <c r="A180" i="7"/>
  <c r="R179" i="7"/>
  <c r="Q179" i="7"/>
  <c r="P179" i="7"/>
  <c r="O179" i="7"/>
  <c r="N179" i="7"/>
  <c r="B179" i="7"/>
  <c r="A179" i="7"/>
  <c r="R178" i="7"/>
  <c r="Q178" i="7"/>
  <c r="P178" i="7"/>
  <c r="O178" i="7"/>
  <c r="N178" i="7"/>
  <c r="B178" i="7"/>
  <c r="A178" i="7"/>
  <c r="R177" i="7"/>
  <c r="Q177" i="7"/>
  <c r="P177" i="7"/>
  <c r="O177" i="7"/>
  <c r="N177" i="7"/>
  <c r="B177" i="7"/>
  <c r="A177" i="7"/>
  <c r="R176" i="7"/>
  <c r="Q176" i="7"/>
  <c r="P176" i="7"/>
  <c r="O176" i="7"/>
  <c r="N176" i="7"/>
  <c r="B176" i="7"/>
  <c r="A176" i="7"/>
  <c r="R175" i="7"/>
  <c r="Q175" i="7"/>
  <c r="P175" i="7"/>
  <c r="O175" i="7"/>
  <c r="N175" i="7"/>
  <c r="B175" i="7"/>
  <c r="A175" i="7"/>
  <c r="R174" i="7"/>
  <c r="Q174" i="7"/>
  <c r="P174" i="7"/>
  <c r="O174" i="7"/>
  <c r="N174" i="7"/>
  <c r="B174" i="7"/>
  <c r="A174" i="7"/>
  <c r="R173" i="7"/>
  <c r="Q173" i="7"/>
  <c r="P173" i="7"/>
  <c r="O173" i="7"/>
  <c r="N173" i="7"/>
  <c r="B173" i="7"/>
  <c r="A173" i="7"/>
  <c r="R172" i="7"/>
  <c r="Q172" i="7"/>
  <c r="P172" i="7"/>
  <c r="O172" i="7"/>
  <c r="N172" i="7"/>
  <c r="B172" i="7"/>
  <c r="A172" i="7"/>
  <c r="R171" i="7"/>
  <c r="Q171" i="7"/>
  <c r="P171" i="7"/>
  <c r="O171" i="7"/>
  <c r="N171" i="7"/>
  <c r="B171" i="7"/>
  <c r="A171" i="7"/>
  <c r="R170" i="7"/>
  <c r="Q170" i="7"/>
  <c r="P170" i="7"/>
  <c r="O170" i="7"/>
  <c r="N170" i="7"/>
  <c r="B170" i="7"/>
  <c r="A170" i="7"/>
  <c r="R169" i="7"/>
  <c r="Q169" i="7"/>
  <c r="P169" i="7"/>
  <c r="O169" i="7"/>
  <c r="N169" i="7"/>
  <c r="B169" i="7"/>
  <c r="A169" i="7"/>
  <c r="R168" i="7"/>
  <c r="Q168" i="7"/>
  <c r="P168" i="7"/>
  <c r="O168" i="7"/>
  <c r="N168" i="7"/>
  <c r="B168" i="7"/>
  <c r="A168" i="7"/>
  <c r="R167" i="7"/>
  <c r="Q167" i="7"/>
  <c r="P167" i="7"/>
  <c r="O167" i="7"/>
  <c r="N167" i="7"/>
  <c r="B167" i="7"/>
  <c r="A167" i="7"/>
  <c r="R166" i="7"/>
  <c r="Q166" i="7"/>
  <c r="P166" i="7"/>
  <c r="O166" i="7"/>
  <c r="N166" i="7"/>
  <c r="B166" i="7"/>
  <c r="A166" i="7"/>
  <c r="R165" i="7"/>
  <c r="Q165" i="7"/>
  <c r="P165" i="7"/>
  <c r="O165" i="7"/>
  <c r="N165" i="7"/>
  <c r="B165" i="7"/>
  <c r="A165" i="7"/>
  <c r="R164" i="7"/>
  <c r="Q164" i="7"/>
  <c r="P164" i="7"/>
  <c r="O164" i="7"/>
  <c r="N164" i="7"/>
  <c r="B164" i="7"/>
  <c r="A164" i="7"/>
  <c r="R163" i="7"/>
  <c r="Q163" i="7"/>
  <c r="P163" i="7"/>
  <c r="O163" i="7"/>
  <c r="N163" i="7"/>
  <c r="B163" i="7"/>
  <c r="A163" i="7"/>
  <c r="R162" i="7"/>
  <c r="Q162" i="7"/>
  <c r="P162" i="7"/>
  <c r="O162" i="7"/>
  <c r="N162" i="7"/>
  <c r="B162" i="7"/>
  <c r="A162" i="7"/>
  <c r="R161" i="7"/>
  <c r="Q161" i="7"/>
  <c r="P161" i="7"/>
  <c r="O161" i="7"/>
  <c r="N161" i="7"/>
  <c r="B161" i="7"/>
  <c r="A161" i="7"/>
  <c r="R160" i="7"/>
  <c r="Q160" i="7"/>
  <c r="P160" i="7"/>
  <c r="O160" i="7"/>
  <c r="N160" i="7"/>
  <c r="B160" i="7"/>
  <c r="A160" i="7"/>
  <c r="R159" i="7"/>
  <c r="Q159" i="7"/>
  <c r="P159" i="7"/>
  <c r="O159" i="7"/>
  <c r="N159" i="7"/>
  <c r="B159" i="7"/>
  <c r="A159" i="7"/>
  <c r="R158" i="7"/>
  <c r="Q158" i="7"/>
  <c r="P158" i="7"/>
  <c r="O158" i="7"/>
  <c r="N158" i="7"/>
  <c r="B158" i="7"/>
  <c r="A158" i="7"/>
  <c r="R157" i="7"/>
  <c r="Q157" i="7"/>
  <c r="P157" i="7"/>
  <c r="O157" i="7"/>
  <c r="N157" i="7"/>
  <c r="B157" i="7"/>
  <c r="A157" i="7"/>
  <c r="R156" i="7"/>
  <c r="Q156" i="7"/>
  <c r="P156" i="7"/>
  <c r="O156" i="7"/>
  <c r="N156" i="7"/>
  <c r="B156" i="7"/>
  <c r="A156" i="7"/>
  <c r="R155" i="7"/>
  <c r="Q155" i="7"/>
  <c r="P155" i="7"/>
  <c r="O155" i="7"/>
  <c r="N155" i="7"/>
  <c r="B155" i="7"/>
  <c r="A155" i="7"/>
  <c r="R154" i="7"/>
  <c r="Q154" i="7"/>
  <c r="P154" i="7"/>
  <c r="O154" i="7"/>
  <c r="N154" i="7"/>
  <c r="B154" i="7"/>
  <c r="A154" i="7"/>
  <c r="R153" i="7"/>
  <c r="Q153" i="7"/>
  <c r="P153" i="7"/>
  <c r="O153" i="7"/>
  <c r="N153" i="7"/>
  <c r="B153" i="7"/>
  <c r="A153" i="7"/>
  <c r="R152" i="7"/>
  <c r="Q152" i="7"/>
  <c r="P152" i="7"/>
  <c r="O152" i="7"/>
  <c r="N152" i="7"/>
  <c r="B152" i="7"/>
  <c r="A152" i="7"/>
  <c r="R151" i="7"/>
  <c r="Q151" i="7"/>
  <c r="P151" i="7"/>
  <c r="O151" i="7"/>
  <c r="N151" i="7"/>
  <c r="B151" i="7"/>
  <c r="A151" i="7"/>
  <c r="R150" i="7"/>
  <c r="Q150" i="7"/>
  <c r="P150" i="7"/>
  <c r="O150" i="7"/>
  <c r="N150" i="7"/>
  <c r="B150" i="7"/>
  <c r="A150" i="7"/>
  <c r="R149" i="7"/>
  <c r="Q149" i="7"/>
  <c r="P149" i="7"/>
  <c r="O149" i="7"/>
  <c r="N149" i="7"/>
  <c r="B149" i="7"/>
  <c r="A149" i="7"/>
  <c r="R148" i="7"/>
  <c r="Q148" i="7"/>
  <c r="P148" i="7"/>
  <c r="O148" i="7"/>
  <c r="N148" i="7"/>
  <c r="B148" i="7"/>
  <c r="A148" i="7"/>
  <c r="R147" i="7"/>
  <c r="Q147" i="7"/>
  <c r="P147" i="7"/>
  <c r="O147" i="7"/>
  <c r="N147" i="7"/>
  <c r="B147" i="7"/>
  <c r="A147" i="7"/>
  <c r="R146" i="7"/>
  <c r="Q146" i="7"/>
  <c r="P146" i="7"/>
  <c r="O146" i="7"/>
  <c r="N146" i="7"/>
  <c r="B146" i="7"/>
  <c r="A146" i="7"/>
  <c r="R145" i="7"/>
  <c r="Q145" i="7"/>
  <c r="P145" i="7"/>
  <c r="O145" i="7"/>
  <c r="N145" i="7"/>
  <c r="B145" i="7"/>
  <c r="A145" i="7"/>
  <c r="R144" i="7"/>
  <c r="Q144" i="7"/>
  <c r="P144" i="7"/>
  <c r="O144" i="7"/>
  <c r="N144" i="7"/>
  <c r="B144" i="7"/>
  <c r="A144" i="7"/>
  <c r="R143" i="7"/>
  <c r="Q143" i="7"/>
  <c r="P143" i="7"/>
  <c r="O143" i="7"/>
  <c r="N143" i="7"/>
  <c r="B143" i="7"/>
  <c r="A143" i="7"/>
  <c r="R142" i="7"/>
  <c r="Q142" i="7"/>
  <c r="P142" i="7"/>
  <c r="O142" i="7"/>
  <c r="N142" i="7"/>
  <c r="B142" i="7"/>
  <c r="A142" i="7"/>
  <c r="R141" i="7"/>
  <c r="Q141" i="7"/>
  <c r="P141" i="7"/>
  <c r="O141" i="7"/>
  <c r="N141" i="7"/>
  <c r="B141" i="7"/>
  <c r="A141" i="7"/>
  <c r="R140" i="7"/>
  <c r="Q140" i="7"/>
  <c r="P140" i="7"/>
  <c r="O140" i="7"/>
  <c r="N140" i="7"/>
  <c r="B140" i="7"/>
  <c r="A140" i="7"/>
  <c r="R139" i="7"/>
  <c r="Q139" i="7"/>
  <c r="P139" i="7"/>
  <c r="O139" i="7"/>
  <c r="N139" i="7"/>
  <c r="B139" i="7"/>
  <c r="A139" i="7"/>
  <c r="R138" i="7"/>
  <c r="Q138" i="7"/>
  <c r="P138" i="7"/>
  <c r="O138" i="7"/>
  <c r="N138" i="7"/>
  <c r="B138" i="7"/>
  <c r="A138" i="7"/>
  <c r="R137" i="7"/>
  <c r="Q137" i="7"/>
  <c r="P137" i="7"/>
  <c r="O137" i="7"/>
  <c r="N137" i="7"/>
  <c r="B137" i="7"/>
  <c r="A137" i="7"/>
  <c r="R136" i="7"/>
  <c r="Q136" i="7"/>
  <c r="P136" i="7"/>
  <c r="O136" i="7"/>
  <c r="N136" i="7"/>
  <c r="B136" i="7"/>
  <c r="A136" i="7"/>
  <c r="R135" i="7"/>
  <c r="Q135" i="7"/>
  <c r="P135" i="7"/>
  <c r="O135" i="7"/>
  <c r="N135" i="7"/>
  <c r="B135" i="7"/>
  <c r="A135" i="7"/>
  <c r="R134" i="7"/>
  <c r="Q134" i="7"/>
  <c r="P134" i="7"/>
  <c r="O134" i="7"/>
  <c r="N134" i="7"/>
  <c r="B134" i="7"/>
  <c r="A134" i="7"/>
  <c r="R133" i="7"/>
  <c r="Q133" i="7"/>
  <c r="P133" i="7"/>
  <c r="O133" i="7"/>
  <c r="N133" i="7"/>
  <c r="B133" i="7"/>
  <c r="A133" i="7"/>
  <c r="R132" i="7"/>
  <c r="Q132" i="7"/>
  <c r="P132" i="7"/>
  <c r="O132" i="7"/>
  <c r="N132" i="7"/>
  <c r="B132" i="7"/>
  <c r="A132" i="7"/>
  <c r="R131" i="7"/>
  <c r="Q131" i="7"/>
  <c r="P131" i="7"/>
  <c r="O131" i="7"/>
  <c r="N131" i="7"/>
  <c r="B131" i="7"/>
  <c r="A131" i="7"/>
  <c r="R130" i="7"/>
  <c r="Q130" i="7"/>
  <c r="P130" i="7"/>
  <c r="O130" i="7"/>
  <c r="N130" i="7"/>
  <c r="B130" i="7"/>
  <c r="A130" i="7"/>
  <c r="R129" i="7"/>
  <c r="Q129" i="7"/>
  <c r="P129" i="7"/>
  <c r="O129" i="7"/>
  <c r="N129" i="7"/>
  <c r="B129" i="7"/>
  <c r="A129" i="7"/>
  <c r="R128" i="7"/>
  <c r="Q128" i="7"/>
  <c r="P128" i="7"/>
  <c r="O128" i="7"/>
  <c r="N128" i="7"/>
  <c r="B128" i="7"/>
  <c r="A128" i="7"/>
  <c r="R127" i="7"/>
  <c r="Q127" i="7"/>
  <c r="P127" i="7"/>
  <c r="O127" i="7"/>
  <c r="N127" i="7"/>
  <c r="B127" i="7"/>
  <c r="A127" i="7"/>
  <c r="R126" i="7"/>
  <c r="Q126" i="7"/>
  <c r="P126" i="7"/>
  <c r="O126" i="7"/>
  <c r="N126" i="7"/>
  <c r="B126" i="7"/>
  <c r="A126" i="7"/>
  <c r="R125" i="7"/>
  <c r="Q125" i="7"/>
  <c r="P125" i="7"/>
  <c r="O125" i="7"/>
  <c r="N125" i="7"/>
  <c r="B125" i="7"/>
  <c r="A125" i="7"/>
  <c r="R124" i="7"/>
  <c r="Q124" i="7"/>
  <c r="P124" i="7"/>
  <c r="O124" i="7"/>
  <c r="N124" i="7"/>
  <c r="B124" i="7"/>
  <c r="A124" i="7"/>
  <c r="R123" i="7"/>
  <c r="Q123" i="7"/>
  <c r="P123" i="7"/>
  <c r="O123" i="7"/>
  <c r="N123" i="7"/>
  <c r="B123" i="7"/>
  <c r="A123" i="7"/>
  <c r="R122" i="7"/>
  <c r="Q122" i="7"/>
  <c r="P122" i="7"/>
  <c r="O122" i="7"/>
  <c r="N122" i="7"/>
  <c r="B122" i="7"/>
  <c r="A122" i="7"/>
  <c r="R121" i="7"/>
  <c r="Q121" i="7"/>
  <c r="P121" i="7"/>
  <c r="O121" i="7"/>
  <c r="N121" i="7"/>
  <c r="B121" i="7"/>
  <c r="A121" i="7"/>
  <c r="R120" i="7"/>
  <c r="Q120" i="7"/>
  <c r="P120" i="7"/>
  <c r="O120" i="7"/>
  <c r="N120" i="7"/>
  <c r="B120" i="7"/>
  <c r="A120" i="7"/>
  <c r="R119" i="7"/>
  <c r="Q119" i="7"/>
  <c r="P119" i="7"/>
  <c r="O119" i="7"/>
  <c r="N119" i="7"/>
  <c r="B119" i="7"/>
  <c r="A119" i="7"/>
  <c r="R118" i="7"/>
  <c r="Q118" i="7"/>
  <c r="P118" i="7"/>
  <c r="O118" i="7"/>
  <c r="N118" i="7"/>
  <c r="B118" i="7"/>
  <c r="A118" i="7"/>
  <c r="R117" i="7"/>
  <c r="Q117" i="7"/>
  <c r="P117" i="7"/>
  <c r="O117" i="7"/>
  <c r="N117" i="7"/>
  <c r="B117" i="7"/>
  <c r="A117" i="7"/>
  <c r="R116" i="7"/>
  <c r="Q116" i="7"/>
  <c r="P116" i="7"/>
  <c r="O116" i="7"/>
  <c r="N116" i="7"/>
  <c r="B116" i="7"/>
  <c r="A116" i="7"/>
  <c r="R115" i="7"/>
  <c r="Q115" i="7"/>
  <c r="P115" i="7"/>
  <c r="O115" i="7"/>
  <c r="N115" i="7"/>
  <c r="B115" i="7"/>
  <c r="A115" i="7"/>
  <c r="R114" i="7"/>
  <c r="Q114" i="7"/>
  <c r="P114" i="7"/>
  <c r="O114" i="7"/>
  <c r="N114" i="7"/>
  <c r="B114" i="7"/>
  <c r="A114" i="7"/>
  <c r="R113" i="7"/>
  <c r="Q113" i="7"/>
  <c r="P113" i="7"/>
  <c r="O113" i="7"/>
  <c r="N113" i="7"/>
  <c r="B113" i="7"/>
  <c r="A113" i="7"/>
  <c r="R112" i="7"/>
  <c r="Q112" i="7"/>
  <c r="P112" i="7"/>
  <c r="O112" i="7"/>
  <c r="N112" i="7"/>
  <c r="B112" i="7"/>
  <c r="A112" i="7"/>
  <c r="R111" i="7"/>
  <c r="Q111" i="7"/>
  <c r="P111" i="7"/>
  <c r="O111" i="7"/>
  <c r="N111" i="7"/>
  <c r="B111" i="7"/>
  <c r="A111" i="7"/>
  <c r="R110" i="7"/>
  <c r="Q110" i="7"/>
  <c r="P110" i="7"/>
  <c r="O110" i="7"/>
  <c r="N110" i="7"/>
  <c r="B110" i="7"/>
  <c r="A110" i="7"/>
  <c r="R109" i="7"/>
  <c r="Q109" i="7"/>
  <c r="P109" i="7"/>
  <c r="O109" i="7"/>
  <c r="N109" i="7"/>
  <c r="B109" i="7"/>
  <c r="A109" i="7"/>
  <c r="R108" i="7"/>
  <c r="Q108" i="7"/>
  <c r="P108" i="7"/>
  <c r="O108" i="7"/>
  <c r="N108" i="7"/>
  <c r="B108" i="7"/>
  <c r="A108" i="7"/>
  <c r="R107" i="7"/>
  <c r="Q107" i="7"/>
  <c r="P107" i="7"/>
  <c r="O107" i="7"/>
  <c r="N107" i="7"/>
  <c r="B107" i="7"/>
  <c r="A107" i="7"/>
  <c r="R106" i="7"/>
  <c r="Q106" i="7"/>
  <c r="P106" i="7"/>
  <c r="O106" i="7"/>
  <c r="N106" i="7"/>
  <c r="B106" i="7"/>
  <c r="A106" i="7"/>
  <c r="R105" i="7"/>
  <c r="Q105" i="7"/>
  <c r="P105" i="7"/>
  <c r="O105" i="7"/>
  <c r="N105" i="7"/>
  <c r="B105" i="7"/>
  <c r="A105" i="7"/>
  <c r="R104" i="7"/>
  <c r="Q104" i="7"/>
  <c r="P104" i="7"/>
  <c r="O104" i="7"/>
  <c r="N104" i="7"/>
  <c r="B104" i="7"/>
  <c r="A104" i="7"/>
  <c r="R103" i="7"/>
  <c r="Q103" i="7"/>
  <c r="P103" i="7"/>
  <c r="O103" i="7"/>
  <c r="N103" i="7"/>
  <c r="B103" i="7"/>
  <c r="A103" i="7"/>
  <c r="R102" i="7"/>
  <c r="Q102" i="7"/>
  <c r="P102" i="7"/>
  <c r="O102" i="7"/>
  <c r="N102" i="7"/>
  <c r="B102" i="7"/>
  <c r="A102" i="7"/>
  <c r="R101" i="7"/>
  <c r="Q101" i="7"/>
  <c r="P101" i="7"/>
  <c r="O101" i="7"/>
  <c r="N101" i="7"/>
  <c r="B101" i="7"/>
  <c r="A101" i="7"/>
  <c r="R100" i="7"/>
  <c r="Q100" i="7"/>
  <c r="P100" i="7"/>
  <c r="O100" i="7"/>
  <c r="N100" i="7"/>
  <c r="B100" i="7"/>
  <c r="A100" i="7"/>
  <c r="R99" i="7"/>
  <c r="Q99" i="7"/>
  <c r="P99" i="7"/>
  <c r="O99" i="7"/>
  <c r="N99" i="7"/>
  <c r="B99" i="7"/>
  <c r="A99" i="7"/>
  <c r="R98" i="7"/>
  <c r="Q98" i="7"/>
  <c r="P98" i="7"/>
  <c r="O98" i="7"/>
  <c r="N98" i="7"/>
  <c r="B98" i="7"/>
  <c r="A98" i="7"/>
  <c r="R97" i="7"/>
  <c r="Q97" i="7"/>
  <c r="P97" i="7"/>
  <c r="O97" i="7"/>
  <c r="N97" i="7"/>
  <c r="B97" i="7"/>
  <c r="A97" i="7"/>
  <c r="R96" i="7"/>
  <c r="Q96" i="7"/>
  <c r="P96" i="7"/>
  <c r="O96" i="7"/>
  <c r="N96" i="7"/>
  <c r="B96" i="7"/>
  <c r="A96" i="7"/>
  <c r="R95" i="7"/>
  <c r="Q95" i="7"/>
  <c r="P95" i="7"/>
  <c r="O95" i="7"/>
  <c r="N95" i="7"/>
  <c r="B95" i="7"/>
  <c r="A95" i="7"/>
  <c r="R94" i="7"/>
  <c r="Q94" i="7"/>
  <c r="P94" i="7"/>
  <c r="O94" i="7"/>
  <c r="N94" i="7"/>
  <c r="B94" i="7"/>
  <c r="A94" i="7"/>
  <c r="R93" i="7"/>
  <c r="Q93" i="7"/>
  <c r="P93" i="7"/>
  <c r="O93" i="7"/>
  <c r="N93" i="7"/>
  <c r="B93" i="7"/>
  <c r="A93" i="7"/>
  <c r="R92" i="7"/>
  <c r="Q92" i="7"/>
  <c r="P92" i="7"/>
  <c r="O92" i="7"/>
  <c r="N92" i="7"/>
  <c r="B92" i="7"/>
  <c r="A92" i="7"/>
  <c r="R91" i="7"/>
  <c r="Q91" i="7"/>
  <c r="P91" i="7"/>
  <c r="O91" i="7"/>
  <c r="N91" i="7"/>
  <c r="B91" i="7"/>
  <c r="A91" i="7"/>
  <c r="R90" i="7"/>
  <c r="Q90" i="7"/>
  <c r="P90" i="7"/>
  <c r="O90" i="7"/>
  <c r="N90" i="7"/>
  <c r="B90" i="7"/>
  <c r="A90" i="7"/>
  <c r="R89" i="7"/>
  <c r="Q89" i="7"/>
  <c r="P89" i="7"/>
  <c r="O89" i="7"/>
  <c r="N89" i="7"/>
  <c r="B89" i="7"/>
  <c r="A89" i="7"/>
  <c r="R88" i="7"/>
  <c r="Q88" i="7"/>
  <c r="P88" i="7"/>
  <c r="O88" i="7"/>
  <c r="N88" i="7"/>
  <c r="B88" i="7"/>
  <c r="A88" i="7"/>
  <c r="R87" i="7"/>
  <c r="Q87" i="7"/>
  <c r="P87" i="7"/>
  <c r="O87" i="7"/>
  <c r="N87" i="7"/>
  <c r="B87" i="7"/>
  <c r="A87" i="7"/>
  <c r="R86" i="7"/>
  <c r="Q86" i="7"/>
  <c r="P86" i="7"/>
  <c r="O86" i="7"/>
  <c r="N86" i="7"/>
  <c r="B86" i="7"/>
  <c r="A86" i="7"/>
  <c r="R85" i="7"/>
  <c r="Q85" i="7"/>
  <c r="P85" i="7"/>
  <c r="O85" i="7"/>
  <c r="N85" i="7"/>
  <c r="B85" i="7"/>
  <c r="A85" i="7"/>
  <c r="R84" i="7"/>
  <c r="Q84" i="7"/>
  <c r="P84" i="7"/>
  <c r="O84" i="7"/>
  <c r="N84" i="7"/>
  <c r="B84" i="7"/>
  <c r="A84" i="7"/>
  <c r="R83" i="7"/>
  <c r="Q83" i="7"/>
  <c r="P83" i="7"/>
  <c r="O83" i="7"/>
  <c r="N83" i="7"/>
  <c r="B83" i="7"/>
  <c r="A83" i="7"/>
  <c r="R82" i="7"/>
  <c r="Q82" i="7"/>
  <c r="P82" i="7"/>
  <c r="O82" i="7"/>
  <c r="N82" i="7"/>
  <c r="B82" i="7"/>
  <c r="A82" i="7"/>
  <c r="R81" i="7"/>
  <c r="Q81" i="7"/>
  <c r="P81" i="7"/>
  <c r="O81" i="7"/>
  <c r="N81" i="7"/>
  <c r="B81" i="7"/>
  <c r="A81" i="7"/>
  <c r="R80" i="7"/>
  <c r="Q80" i="7"/>
  <c r="P80" i="7"/>
  <c r="O80" i="7"/>
  <c r="N80" i="7"/>
  <c r="B80" i="7"/>
  <c r="A80" i="7"/>
  <c r="R79" i="7"/>
  <c r="Q79" i="7"/>
  <c r="P79" i="7"/>
  <c r="O79" i="7"/>
  <c r="N79" i="7"/>
  <c r="B79" i="7"/>
  <c r="A79" i="7"/>
  <c r="R78" i="7"/>
  <c r="Q78" i="7"/>
  <c r="P78" i="7"/>
  <c r="O78" i="7"/>
  <c r="N78" i="7"/>
  <c r="B78" i="7"/>
  <c r="A78" i="7"/>
  <c r="R77" i="7"/>
  <c r="Q77" i="7"/>
  <c r="P77" i="7"/>
  <c r="O77" i="7"/>
  <c r="N77" i="7"/>
  <c r="B77" i="7"/>
  <c r="A77" i="7"/>
  <c r="R76" i="7"/>
  <c r="Q76" i="7"/>
  <c r="P76" i="7"/>
  <c r="O76" i="7"/>
  <c r="N76" i="7"/>
  <c r="B76" i="7"/>
  <c r="A76" i="7"/>
  <c r="R75" i="7"/>
  <c r="Q75" i="7"/>
  <c r="P75" i="7"/>
  <c r="O75" i="7"/>
  <c r="N75" i="7"/>
  <c r="B75" i="7"/>
  <c r="A75" i="7"/>
  <c r="R74" i="7"/>
  <c r="Q74" i="7"/>
  <c r="P74" i="7"/>
  <c r="O74" i="7"/>
  <c r="N74" i="7"/>
  <c r="B74" i="7"/>
  <c r="A74" i="7"/>
  <c r="R73" i="7"/>
  <c r="Q73" i="7"/>
  <c r="P73" i="7"/>
  <c r="O73" i="7"/>
  <c r="N73" i="7"/>
  <c r="B73" i="7"/>
  <c r="A73" i="7"/>
  <c r="R72" i="7"/>
  <c r="Q72" i="7"/>
  <c r="P72" i="7"/>
  <c r="O72" i="7"/>
  <c r="N72" i="7"/>
  <c r="B72" i="7"/>
  <c r="A72" i="7"/>
  <c r="R71" i="7"/>
  <c r="Q71" i="7"/>
  <c r="P71" i="7"/>
  <c r="O71" i="7"/>
  <c r="N71" i="7"/>
  <c r="B71" i="7"/>
  <c r="A71" i="7"/>
  <c r="R70" i="7"/>
  <c r="Q70" i="7"/>
  <c r="P70" i="7"/>
  <c r="O70" i="7"/>
  <c r="N70" i="7"/>
  <c r="B70" i="7"/>
  <c r="A70" i="7"/>
  <c r="R69" i="7"/>
  <c r="Q69" i="7"/>
  <c r="P69" i="7"/>
  <c r="O69" i="7"/>
  <c r="N69" i="7"/>
  <c r="B69" i="7"/>
  <c r="A69" i="7"/>
  <c r="R68" i="7"/>
  <c r="Q68" i="7"/>
  <c r="P68" i="7"/>
  <c r="O68" i="7"/>
  <c r="N68" i="7"/>
  <c r="B68" i="7"/>
  <c r="A68" i="7"/>
  <c r="R67" i="7"/>
  <c r="Q67" i="7"/>
  <c r="P67" i="7"/>
  <c r="O67" i="7"/>
  <c r="N67" i="7"/>
  <c r="B67" i="7"/>
  <c r="A67" i="7"/>
  <c r="R66" i="7"/>
  <c r="Q66" i="7"/>
  <c r="P66" i="7"/>
  <c r="O66" i="7"/>
  <c r="N66" i="7"/>
  <c r="B66" i="7"/>
  <c r="A66" i="7"/>
  <c r="R65" i="7"/>
  <c r="Q65" i="7"/>
  <c r="P65" i="7"/>
  <c r="O65" i="7"/>
  <c r="N65" i="7"/>
  <c r="B65" i="7"/>
  <c r="A65" i="7"/>
  <c r="R64" i="7"/>
  <c r="Q64" i="7"/>
  <c r="P64" i="7"/>
  <c r="O64" i="7"/>
  <c r="N64" i="7"/>
  <c r="B64" i="7"/>
  <c r="A64" i="7"/>
  <c r="R63" i="7"/>
  <c r="Q63" i="7"/>
  <c r="P63" i="7"/>
  <c r="O63" i="7"/>
  <c r="N63" i="7"/>
  <c r="B63" i="7"/>
  <c r="A63" i="7"/>
  <c r="R62" i="7"/>
  <c r="Q62" i="7"/>
  <c r="P62" i="7"/>
  <c r="O62" i="7"/>
  <c r="N62" i="7"/>
  <c r="B62" i="7"/>
  <c r="A62" i="7"/>
  <c r="R61" i="7"/>
  <c r="Q61" i="7"/>
  <c r="P61" i="7"/>
  <c r="O61" i="7"/>
  <c r="N61" i="7"/>
  <c r="B61" i="7"/>
  <c r="A61" i="7"/>
  <c r="R60" i="7"/>
  <c r="Q60" i="7"/>
  <c r="P60" i="7"/>
  <c r="O60" i="7"/>
  <c r="N60" i="7"/>
  <c r="B60" i="7"/>
  <c r="A60" i="7"/>
  <c r="R59" i="7"/>
  <c r="Q59" i="7"/>
  <c r="P59" i="7"/>
  <c r="O59" i="7"/>
  <c r="N59" i="7"/>
  <c r="B59" i="7"/>
  <c r="A59" i="7"/>
  <c r="R58" i="7"/>
  <c r="Q58" i="7"/>
  <c r="P58" i="7"/>
  <c r="O58" i="7"/>
  <c r="N58" i="7"/>
  <c r="B58" i="7"/>
  <c r="A58" i="7"/>
  <c r="R57" i="7"/>
  <c r="Q57" i="7"/>
  <c r="P57" i="7"/>
  <c r="O57" i="7"/>
  <c r="N57" i="7"/>
  <c r="B57" i="7"/>
  <c r="A57" i="7"/>
  <c r="R56" i="7"/>
  <c r="Q56" i="7"/>
  <c r="P56" i="7"/>
  <c r="O56" i="7"/>
  <c r="N56" i="7"/>
  <c r="B56" i="7"/>
  <c r="A56" i="7"/>
  <c r="R55" i="7"/>
  <c r="Q55" i="7"/>
  <c r="P55" i="7"/>
  <c r="O55" i="7"/>
  <c r="N55" i="7"/>
  <c r="B55" i="7"/>
  <c r="A55" i="7"/>
  <c r="R54" i="7"/>
  <c r="Q54" i="7"/>
  <c r="P54" i="7"/>
  <c r="O54" i="7"/>
  <c r="N54" i="7"/>
  <c r="B54" i="7"/>
  <c r="A54" i="7"/>
  <c r="R53" i="7"/>
  <c r="Q53" i="7"/>
  <c r="P53" i="7"/>
  <c r="O53" i="7"/>
  <c r="N53" i="7"/>
  <c r="B53" i="7"/>
  <c r="A53" i="7"/>
  <c r="R52" i="7"/>
  <c r="Q52" i="7"/>
  <c r="P52" i="7"/>
  <c r="O52" i="7"/>
  <c r="N52" i="7"/>
  <c r="B52" i="7"/>
  <c r="A52" i="7"/>
  <c r="R51" i="7"/>
  <c r="Q51" i="7"/>
  <c r="P51" i="7"/>
  <c r="O51" i="7"/>
  <c r="N51" i="7"/>
  <c r="B51" i="7"/>
  <c r="A51" i="7"/>
  <c r="R50" i="7"/>
  <c r="Q50" i="7"/>
  <c r="P50" i="7"/>
  <c r="O50" i="7"/>
  <c r="N50" i="7"/>
  <c r="B50" i="7"/>
  <c r="A50" i="7"/>
  <c r="R49" i="7"/>
  <c r="Q49" i="7"/>
  <c r="P49" i="7"/>
  <c r="O49" i="7"/>
  <c r="N49" i="7"/>
  <c r="B49" i="7"/>
  <c r="A49" i="7"/>
  <c r="R48" i="7"/>
  <c r="Q48" i="7"/>
  <c r="P48" i="7"/>
  <c r="O48" i="7"/>
  <c r="N48" i="7"/>
  <c r="B48" i="7"/>
  <c r="A48" i="7"/>
  <c r="R47" i="7"/>
  <c r="Q47" i="7"/>
  <c r="P47" i="7"/>
  <c r="O47" i="7"/>
  <c r="N47" i="7"/>
  <c r="B47" i="7"/>
  <c r="A47" i="7"/>
  <c r="R46" i="7"/>
  <c r="Q46" i="7"/>
  <c r="P46" i="7"/>
  <c r="O46" i="7"/>
  <c r="N46" i="7"/>
  <c r="B46" i="7"/>
  <c r="A46" i="7"/>
  <c r="R45" i="7"/>
  <c r="Q45" i="7"/>
  <c r="P45" i="7"/>
  <c r="O45" i="7"/>
  <c r="N45" i="7"/>
  <c r="B45" i="7"/>
  <c r="A45" i="7"/>
  <c r="R44" i="7"/>
  <c r="Q44" i="7"/>
  <c r="P44" i="7"/>
  <c r="O44" i="7"/>
  <c r="N44" i="7"/>
  <c r="B44" i="7"/>
  <c r="A44" i="7"/>
  <c r="R43" i="7"/>
  <c r="Q43" i="7"/>
  <c r="P43" i="7"/>
  <c r="O43" i="7"/>
  <c r="N43" i="7"/>
  <c r="B43" i="7"/>
  <c r="A43" i="7"/>
  <c r="R42" i="7"/>
  <c r="Q42" i="7"/>
  <c r="P42" i="7"/>
  <c r="O42" i="7"/>
  <c r="N42" i="7"/>
  <c r="B42" i="7"/>
  <c r="A42" i="7"/>
  <c r="R41" i="7"/>
  <c r="Q41" i="7"/>
  <c r="P41" i="7"/>
  <c r="O41" i="7"/>
  <c r="N41" i="7"/>
  <c r="B41" i="7"/>
  <c r="A41" i="7"/>
  <c r="R40" i="7"/>
  <c r="Q40" i="7"/>
  <c r="P40" i="7"/>
  <c r="O40" i="7"/>
  <c r="N40" i="7"/>
  <c r="B40" i="7"/>
  <c r="A40" i="7"/>
  <c r="R39" i="7"/>
  <c r="Q39" i="7"/>
  <c r="P39" i="7"/>
  <c r="O39" i="7"/>
  <c r="N39" i="7"/>
  <c r="B39" i="7"/>
  <c r="A39" i="7"/>
  <c r="R38" i="7"/>
  <c r="Q38" i="7"/>
  <c r="P38" i="7"/>
  <c r="O38" i="7"/>
  <c r="N38" i="7"/>
  <c r="B38" i="7"/>
  <c r="A38" i="7"/>
  <c r="R37" i="7"/>
  <c r="Q37" i="7"/>
  <c r="P37" i="7"/>
  <c r="U51" i="2" s="1"/>
  <c r="O37" i="7"/>
  <c r="N37" i="7"/>
  <c r="B37" i="7"/>
  <c r="A37" i="7"/>
  <c r="R36" i="7"/>
  <c r="Q36" i="7"/>
  <c r="P36" i="7"/>
  <c r="O36" i="7"/>
  <c r="N36" i="7"/>
  <c r="B36" i="7"/>
  <c r="A36" i="7"/>
  <c r="R35" i="7"/>
  <c r="Q35" i="7"/>
  <c r="P35" i="7"/>
  <c r="O35" i="7"/>
  <c r="N35" i="7"/>
  <c r="B35" i="7"/>
  <c r="A35" i="7"/>
  <c r="R34" i="7"/>
  <c r="Q34" i="7"/>
  <c r="U48" i="2" s="1"/>
  <c r="P34" i="7"/>
  <c r="O34" i="7"/>
  <c r="N34" i="7"/>
  <c r="B34" i="7"/>
  <c r="A34" i="7"/>
  <c r="R33" i="7"/>
  <c r="Q33" i="7"/>
  <c r="P33" i="7"/>
  <c r="O33" i="7"/>
  <c r="N33" i="7"/>
  <c r="B33" i="7"/>
  <c r="A33" i="7"/>
  <c r="R32" i="7"/>
  <c r="Q32" i="7"/>
  <c r="P32" i="7"/>
  <c r="O32" i="7"/>
  <c r="N32" i="7"/>
  <c r="B32" i="7"/>
  <c r="A32" i="7"/>
  <c r="R31" i="7"/>
  <c r="Q31" i="7"/>
  <c r="P31" i="7"/>
  <c r="O31" i="7"/>
  <c r="N31" i="7"/>
  <c r="B31" i="7"/>
  <c r="A31" i="7"/>
  <c r="R30" i="7"/>
  <c r="Q30" i="7"/>
  <c r="P30" i="7"/>
  <c r="O30" i="7"/>
  <c r="N30" i="7"/>
  <c r="B30" i="7"/>
  <c r="A30" i="7"/>
  <c r="R29" i="7"/>
  <c r="Q29" i="7"/>
  <c r="P29" i="7"/>
  <c r="O29" i="7"/>
  <c r="N29" i="7"/>
  <c r="B29" i="7"/>
  <c r="A29" i="7"/>
  <c r="R28" i="7"/>
  <c r="Q28" i="7"/>
  <c r="P28" i="7"/>
  <c r="O28" i="7"/>
  <c r="N28" i="7"/>
  <c r="B28" i="7"/>
  <c r="A28" i="7"/>
  <c r="R27" i="7"/>
  <c r="Q27" i="7"/>
  <c r="P27" i="7"/>
  <c r="O27" i="7"/>
  <c r="N27" i="7"/>
  <c r="B27" i="7"/>
  <c r="A27" i="7"/>
  <c r="R26" i="7"/>
  <c r="Q26" i="7"/>
  <c r="P26" i="7"/>
  <c r="O26" i="7"/>
  <c r="N26" i="7"/>
  <c r="B26" i="7"/>
  <c r="A26" i="7"/>
  <c r="R25" i="7"/>
  <c r="Q25" i="7"/>
  <c r="P25" i="7"/>
  <c r="O25" i="7"/>
  <c r="N25" i="7"/>
  <c r="B25" i="7"/>
  <c r="A25" i="7"/>
  <c r="R24" i="7"/>
  <c r="Q24" i="7"/>
  <c r="P24" i="7"/>
  <c r="O24" i="7"/>
  <c r="N24" i="7"/>
  <c r="B24" i="7"/>
  <c r="A24" i="7"/>
  <c r="R23" i="7"/>
  <c r="Q23" i="7"/>
  <c r="P23" i="7"/>
  <c r="O23" i="7"/>
  <c r="N23" i="7"/>
  <c r="B23" i="7"/>
  <c r="A23" i="7"/>
  <c r="R22" i="7"/>
  <c r="Q22" i="7"/>
  <c r="P22" i="7"/>
  <c r="O22" i="7"/>
  <c r="N22" i="7"/>
  <c r="B22" i="7"/>
  <c r="A22" i="7"/>
  <c r="R21" i="7"/>
  <c r="Q21" i="7"/>
  <c r="P21" i="7"/>
  <c r="O21" i="7"/>
  <c r="N21" i="7"/>
  <c r="B21" i="7"/>
  <c r="A21" i="7"/>
  <c r="R20" i="7"/>
  <c r="Q20" i="7"/>
  <c r="P20" i="7"/>
  <c r="O20" i="7"/>
  <c r="N20" i="7"/>
  <c r="B20" i="7"/>
  <c r="A20" i="7"/>
  <c r="R19" i="7"/>
  <c r="Q19" i="7"/>
  <c r="P19" i="7"/>
  <c r="O19" i="7"/>
  <c r="N19" i="7"/>
  <c r="B19" i="7"/>
  <c r="A19" i="7"/>
  <c r="R18" i="7"/>
  <c r="Q18" i="7"/>
  <c r="P18" i="7"/>
  <c r="O18" i="7"/>
  <c r="N18" i="7"/>
  <c r="B18" i="7"/>
  <c r="A18" i="7"/>
  <c r="R17" i="7"/>
  <c r="Q17" i="7"/>
  <c r="P17" i="7"/>
  <c r="O17" i="7"/>
  <c r="N17" i="7"/>
  <c r="B17" i="7"/>
  <c r="A17" i="7"/>
  <c r="R16" i="7"/>
  <c r="Q16" i="7"/>
  <c r="P16" i="7"/>
  <c r="O16" i="7"/>
  <c r="N16" i="7"/>
  <c r="B16" i="7"/>
  <c r="A16" i="7"/>
  <c r="R15" i="7"/>
  <c r="Q15" i="7"/>
  <c r="P15" i="7"/>
  <c r="O15" i="7"/>
  <c r="N15" i="7"/>
  <c r="B15" i="7"/>
  <c r="A15" i="7"/>
  <c r="R14" i="7"/>
  <c r="Q14" i="7"/>
  <c r="P14" i="7"/>
  <c r="O14" i="7"/>
  <c r="N14" i="7"/>
  <c r="B14" i="7"/>
  <c r="A14" i="7"/>
  <c r="R13" i="7"/>
  <c r="Q13" i="7"/>
  <c r="P13" i="7"/>
  <c r="O13" i="7"/>
  <c r="N13" i="7"/>
  <c r="B13" i="7"/>
  <c r="A13" i="7"/>
  <c r="R12" i="7"/>
  <c r="Q12" i="7"/>
  <c r="P12" i="7"/>
  <c r="O12" i="7"/>
  <c r="N12" i="7"/>
  <c r="B12" i="7"/>
  <c r="A12" i="7"/>
  <c r="R11" i="7"/>
  <c r="Q11" i="7"/>
  <c r="P11" i="7"/>
  <c r="O11" i="7"/>
  <c r="N11" i="7"/>
  <c r="B11" i="7"/>
  <c r="A11" i="7"/>
  <c r="R10" i="7"/>
  <c r="Q10" i="7"/>
  <c r="P10" i="7"/>
  <c r="O10" i="7"/>
  <c r="N10" i="7"/>
  <c r="B10" i="7"/>
  <c r="A10" i="7"/>
  <c r="R9" i="7"/>
  <c r="Q9" i="7"/>
  <c r="P9" i="7"/>
  <c r="O9" i="7"/>
  <c r="N9" i="7"/>
  <c r="B9" i="7"/>
  <c r="A9" i="7"/>
  <c r="R8" i="7"/>
  <c r="Q8" i="7"/>
  <c r="P8" i="7"/>
  <c r="O8" i="7"/>
  <c r="N8" i="7"/>
  <c r="B8" i="7"/>
  <c r="A8" i="7"/>
  <c r="R7" i="7"/>
  <c r="Q7" i="7"/>
  <c r="P7" i="7"/>
  <c r="O7" i="7"/>
  <c r="N7" i="7"/>
  <c r="B7" i="7"/>
  <c r="A7" i="7"/>
  <c r="R6" i="7"/>
  <c r="Q6" i="7"/>
  <c r="P6" i="7"/>
  <c r="O6" i="7"/>
  <c r="N6" i="7"/>
  <c r="B6" i="7"/>
  <c r="A6" i="7"/>
  <c r="R5" i="7"/>
  <c r="Q5" i="7"/>
  <c r="P5" i="7"/>
  <c r="O5" i="7"/>
  <c r="N5" i="7"/>
  <c r="B5" i="7"/>
  <c r="A5" i="7"/>
  <c r="R4" i="7"/>
  <c r="Q4" i="7"/>
  <c r="P4" i="7"/>
  <c r="O4" i="7"/>
  <c r="N4" i="7"/>
  <c r="B4" i="7"/>
  <c r="A4" i="7"/>
  <c r="R3" i="7"/>
  <c r="Q3" i="7"/>
  <c r="P3" i="7"/>
  <c r="O3" i="7"/>
  <c r="N3" i="7"/>
  <c r="B3" i="7"/>
  <c r="A3" i="7"/>
  <c r="B2" i="7"/>
  <c r="A2" i="7"/>
  <c r="U515" i="2"/>
  <c r="U514" i="2"/>
  <c r="U513" i="2"/>
  <c r="U512" i="2"/>
  <c r="U511" i="2"/>
  <c r="U510" i="2"/>
  <c r="U509" i="2"/>
  <c r="U508" i="2"/>
  <c r="U507" i="2"/>
  <c r="U506" i="2"/>
  <c r="U505" i="2"/>
  <c r="U504" i="2"/>
  <c r="U503" i="2"/>
  <c r="U502" i="2"/>
  <c r="U501" i="2"/>
  <c r="U500" i="2"/>
  <c r="U499" i="2"/>
  <c r="U498" i="2"/>
  <c r="U497" i="2"/>
  <c r="U496" i="2"/>
  <c r="U495" i="2"/>
  <c r="U494" i="2"/>
  <c r="U493" i="2"/>
  <c r="U492" i="2"/>
  <c r="U491" i="2"/>
  <c r="U490" i="2"/>
  <c r="U489" i="2"/>
  <c r="U488" i="2"/>
  <c r="U487" i="2"/>
  <c r="U486" i="2"/>
  <c r="U485" i="2"/>
  <c r="U484" i="2"/>
  <c r="U483" i="2"/>
  <c r="U482" i="2"/>
  <c r="U481" i="2"/>
  <c r="U480" i="2"/>
  <c r="U479" i="2"/>
  <c r="U478" i="2"/>
  <c r="U477" i="2"/>
  <c r="U476" i="2"/>
  <c r="U475" i="2"/>
  <c r="U474" i="2"/>
  <c r="U473" i="2"/>
  <c r="U472" i="2"/>
  <c r="U471" i="2"/>
  <c r="U470" i="2"/>
  <c r="U469" i="2"/>
  <c r="U468" i="2"/>
  <c r="U467" i="2"/>
  <c r="U466" i="2"/>
  <c r="U465" i="2"/>
  <c r="U464" i="2"/>
  <c r="U463" i="2"/>
  <c r="U462" i="2"/>
  <c r="U461" i="2"/>
  <c r="U460" i="2"/>
  <c r="U459" i="2"/>
  <c r="U458" i="2"/>
  <c r="U457" i="2"/>
  <c r="U456" i="2"/>
  <c r="U455" i="2"/>
  <c r="U454" i="2"/>
  <c r="U453" i="2"/>
  <c r="U452" i="2"/>
  <c r="U451" i="2"/>
  <c r="U450" i="2"/>
  <c r="U449" i="2"/>
  <c r="U448" i="2"/>
  <c r="U447" i="2"/>
  <c r="U446" i="2"/>
  <c r="U445" i="2"/>
  <c r="U444" i="2"/>
  <c r="U443" i="2"/>
  <c r="U442" i="2"/>
  <c r="U441" i="2"/>
  <c r="U440" i="2"/>
  <c r="U439" i="2"/>
  <c r="U438" i="2"/>
  <c r="U437" i="2"/>
  <c r="U436" i="2"/>
  <c r="U435" i="2"/>
  <c r="U434" i="2"/>
  <c r="U433" i="2"/>
  <c r="U432" i="2"/>
  <c r="U431" i="2"/>
  <c r="U430" i="2"/>
  <c r="U429" i="2"/>
  <c r="U428" i="2"/>
  <c r="U427" i="2"/>
  <c r="U426" i="2"/>
  <c r="U425" i="2"/>
  <c r="U424" i="2"/>
  <c r="U423" i="2"/>
  <c r="U422" i="2"/>
  <c r="U421" i="2"/>
  <c r="U420" i="2"/>
  <c r="U419" i="2"/>
  <c r="U418" i="2"/>
  <c r="U417" i="2"/>
  <c r="U416" i="2"/>
  <c r="U415" i="2"/>
  <c r="U414" i="2"/>
  <c r="U413" i="2"/>
  <c r="U412" i="2"/>
  <c r="U411" i="2"/>
  <c r="U410" i="2"/>
  <c r="U409" i="2"/>
  <c r="U408" i="2"/>
  <c r="U407" i="2"/>
  <c r="U406" i="2"/>
  <c r="U405" i="2"/>
  <c r="U404" i="2"/>
  <c r="U403" i="2"/>
  <c r="U402" i="2"/>
  <c r="U401" i="2"/>
  <c r="U400" i="2"/>
  <c r="U399" i="2"/>
  <c r="U398" i="2"/>
  <c r="U397" i="2"/>
  <c r="U396" i="2"/>
  <c r="U395" i="2"/>
  <c r="U394" i="2"/>
  <c r="U393" i="2"/>
  <c r="U392" i="2"/>
  <c r="U391" i="2"/>
  <c r="U390" i="2"/>
  <c r="U389" i="2"/>
  <c r="U388" i="2"/>
  <c r="U387" i="2"/>
  <c r="U386" i="2"/>
  <c r="U385" i="2"/>
  <c r="U384" i="2"/>
  <c r="U383" i="2"/>
  <c r="U382" i="2"/>
  <c r="U381" i="2"/>
  <c r="U380" i="2"/>
  <c r="U379" i="2"/>
  <c r="U378" i="2"/>
  <c r="U377" i="2"/>
  <c r="U376" i="2"/>
  <c r="U375" i="2"/>
  <c r="U374" i="2"/>
  <c r="U373" i="2"/>
  <c r="U372" i="2"/>
  <c r="U371" i="2"/>
  <c r="U370" i="2"/>
  <c r="U369" i="2"/>
  <c r="U368" i="2"/>
  <c r="U367" i="2"/>
  <c r="U366" i="2"/>
  <c r="U365" i="2"/>
  <c r="U364" i="2"/>
  <c r="U363" i="2"/>
  <c r="U362" i="2"/>
  <c r="U361" i="2"/>
  <c r="U360" i="2"/>
  <c r="U359" i="2"/>
  <c r="U358" i="2"/>
  <c r="U357" i="2"/>
  <c r="U356" i="2"/>
  <c r="U355" i="2"/>
  <c r="U354" i="2"/>
  <c r="U353" i="2"/>
  <c r="U352" i="2"/>
  <c r="U351" i="2"/>
  <c r="U350" i="2"/>
  <c r="U349" i="2"/>
  <c r="U348" i="2"/>
  <c r="U347" i="2"/>
  <c r="U346" i="2"/>
  <c r="U345" i="2"/>
  <c r="U344" i="2"/>
  <c r="U343" i="2"/>
  <c r="U342" i="2"/>
  <c r="U341" i="2"/>
  <c r="U340" i="2"/>
  <c r="U339" i="2"/>
  <c r="U338" i="2"/>
  <c r="U337" i="2"/>
  <c r="U336" i="2"/>
  <c r="U335" i="2"/>
  <c r="U334" i="2"/>
  <c r="U333" i="2"/>
  <c r="U332" i="2"/>
  <c r="U331" i="2"/>
  <c r="U330" i="2"/>
  <c r="U329" i="2"/>
  <c r="U328" i="2"/>
  <c r="U327" i="2"/>
  <c r="U326" i="2"/>
  <c r="U325" i="2"/>
  <c r="U324" i="2"/>
  <c r="U323" i="2"/>
  <c r="U322" i="2"/>
  <c r="U321" i="2"/>
  <c r="U320" i="2"/>
  <c r="U319" i="2"/>
  <c r="U318" i="2"/>
  <c r="U317" i="2"/>
  <c r="U316" i="2"/>
  <c r="U315" i="2"/>
  <c r="U314" i="2"/>
  <c r="U313" i="2"/>
  <c r="U312" i="2"/>
  <c r="U311" i="2"/>
  <c r="U310" i="2"/>
  <c r="U309" i="2"/>
  <c r="U308" i="2"/>
  <c r="U307" i="2"/>
  <c r="U306" i="2"/>
  <c r="U305" i="2"/>
  <c r="U304" i="2"/>
  <c r="U303" i="2"/>
  <c r="U302" i="2"/>
  <c r="U301" i="2"/>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4" i="2"/>
  <c r="U263" i="2"/>
  <c r="U262" i="2"/>
  <c r="U261"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20" i="2"/>
  <c r="U219" i="2"/>
  <c r="U218" i="2"/>
  <c r="U217" i="2"/>
  <c r="U216" i="2"/>
  <c r="U215" i="2"/>
  <c r="U214" i="2"/>
  <c r="U213" i="2"/>
  <c r="U212" i="2"/>
  <c r="U211" i="2"/>
  <c r="U210" i="2"/>
  <c r="U209" i="2"/>
  <c r="U208" i="2"/>
  <c r="U207" i="2"/>
  <c r="U206" i="2"/>
  <c r="U205" i="2"/>
  <c r="U204" i="2"/>
  <c r="U203" i="2"/>
  <c r="U202" i="2"/>
  <c r="U201" i="2"/>
  <c r="U200" i="2"/>
  <c r="U199" i="2"/>
  <c r="U198" i="2"/>
  <c r="U197" i="2"/>
  <c r="U196" i="2"/>
  <c r="U195" i="2"/>
  <c r="U194" i="2"/>
  <c r="U193" i="2"/>
  <c r="U192" i="2"/>
  <c r="U191" i="2"/>
  <c r="U190" i="2"/>
  <c r="U189" i="2"/>
  <c r="U188" i="2"/>
  <c r="U187" i="2"/>
  <c r="U186" i="2"/>
  <c r="U185" i="2"/>
  <c r="U184" i="2"/>
  <c r="U183" i="2"/>
  <c r="U182" i="2"/>
  <c r="U181" i="2"/>
  <c r="U180" i="2"/>
  <c r="U179" i="2"/>
  <c r="U178" i="2"/>
  <c r="U177" i="2"/>
  <c r="U176" i="2"/>
  <c r="U175" i="2"/>
  <c r="U174" i="2"/>
  <c r="U173" i="2"/>
  <c r="U172" i="2"/>
  <c r="U171" i="2"/>
  <c r="U170" i="2"/>
  <c r="U169" i="2"/>
  <c r="U168" i="2"/>
  <c r="U167" i="2"/>
  <c r="U166" i="2"/>
  <c r="U165" i="2"/>
  <c r="U164" i="2"/>
  <c r="U163" i="2"/>
  <c r="U162" i="2"/>
  <c r="U161" i="2"/>
  <c r="U160" i="2"/>
  <c r="U159" i="2"/>
  <c r="U158" i="2"/>
  <c r="U157" i="2"/>
  <c r="U156" i="2"/>
  <c r="U155" i="2"/>
  <c r="U154" i="2"/>
  <c r="U153" i="2"/>
  <c r="U152" i="2"/>
  <c r="U151" i="2"/>
  <c r="U150" i="2"/>
  <c r="U149" i="2"/>
  <c r="U148" i="2"/>
  <c r="U147" i="2"/>
  <c r="U146" i="2"/>
  <c r="U145" i="2"/>
  <c r="U144" i="2"/>
  <c r="U143" i="2"/>
  <c r="U142" i="2"/>
  <c r="U141" i="2"/>
  <c r="U140" i="2"/>
  <c r="U139" i="2"/>
  <c r="U138" i="2"/>
  <c r="U137" i="2"/>
  <c r="U136" i="2"/>
  <c r="U135" i="2"/>
  <c r="U134" i="2"/>
  <c r="U133" i="2"/>
  <c r="U132" i="2"/>
  <c r="U131" i="2"/>
  <c r="U130" i="2"/>
  <c r="U129" i="2"/>
  <c r="U128" i="2"/>
  <c r="U127" i="2"/>
  <c r="U126" i="2"/>
  <c r="U125" i="2"/>
  <c r="U124" i="2"/>
  <c r="U123" i="2"/>
  <c r="U122" i="2"/>
  <c r="U121" i="2"/>
  <c r="U120" i="2"/>
  <c r="U119" i="2"/>
  <c r="U118" i="2"/>
  <c r="U117" i="2"/>
  <c r="U116" i="2"/>
  <c r="U115" i="2"/>
  <c r="U114" i="2"/>
  <c r="U113" i="2"/>
  <c r="U112" i="2"/>
  <c r="U111" i="2"/>
  <c r="U110" i="2"/>
  <c r="U109" i="2"/>
  <c r="U108" i="2"/>
  <c r="U107" i="2"/>
  <c r="U106" i="2"/>
  <c r="U105" i="2"/>
  <c r="U104" i="2"/>
  <c r="U103" i="2"/>
  <c r="U102" i="2"/>
  <c r="U101" i="2"/>
  <c r="U100" i="2"/>
  <c r="U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U62" i="2"/>
  <c r="U61" i="2"/>
  <c r="U60" i="2"/>
  <c r="M13" i="2"/>
  <c r="U10" i="2"/>
  <c r="M10" i="2"/>
  <c r="U59" i="2" l="1"/>
  <c r="U57" i="2"/>
  <c r="U55" i="2"/>
  <c r="U53" i="2"/>
  <c r="U49" i="2"/>
  <c r="U58" i="2"/>
  <c r="U56" i="2"/>
  <c r="U54" i="2"/>
  <c r="U52" i="2"/>
  <c r="U50" i="2"/>
  <c r="U46" i="2"/>
  <c r="U45" i="2"/>
  <c r="U44" i="2"/>
  <c r="U43" i="2"/>
  <c r="U42" i="2"/>
  <c r="U40" i="2"/>
  <c r="U39" i="2"/>
  <c r="U38" i="2"/>
  <c r="U37" i="2"/>
  <c r="U36" i="2"/>
  <c r="U47" i="2"/>
  <c r="U41" i="2"/>
  <c r="U31" i="2"/>
  <c r="U35" i="2"/>
  <c r="U34" i="2"/>
  <c r="U33" i="2"/>
  <c r="U30" i="2"/>
  <c r="U29" i="2"/>
  <c r="U28" i="2"/>
  <c r="U27" i="2"/>
  <c r="U26" i="2"/>
  <c r="U25" i="2"/>
  <c r="U32" i="2"/>
  <c r="U24" i="2"/>
  <c r="U23" i="2"/>
  <c r="U22" i="2"/>
  <c r="U21" i="2"/>
  <c r="U20" i="2"/>
  <c r="U19" i="2"/>
  <c r="U18" i="2"/>
  <c r="U17" i="2"/>
  <c r="A17" i="2" s="1"/>
  <c r="U16" i="2"/>
  <c r="A90" i="2" l="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K13" i="2" l="1"/>
  <c r="U12" i="2" s="1"/>
</calcChain>
</file>

<file path=xl/comments1.xml><?xml version="1.0" encoding="utf-8"?>
<comments xmlns="http://schemas.openxmlformats.org/spreadsheetml/2006/main">
  <authors>
    <author>A&amp;F Systems</author>
  </authors>
  <commentList>
    <comment ref="D5" authorId="0" shapeId="0">
      <text>
        <r>
          <rPr>
            <sz val="9"/>
            <color indexed="81"/>
            <rFont val="Tahoma"/>
            <family val="2"/>
          </rPr>
          <t xml:space="preserve">Enter file path IF you want your Batch Upload PRN file generated in a specific  location.  
If the file path is Blank, the PRN file will be generated in the same location as the Recharge Upload Spreadsheet.
</t>
        </r>
      </text>
    </comment>
    <comment ref="B9" authorId="0" shapeId="0">
      <text>
        <r>
          <rPr>
            <sz val="9"/>
            <color indexed="81"/>
            <rFont val="Tahoma"/>
            <family val="2"/>
          </rPr>
          <t xml:space="preserve">Business Unit is a Required value.
</t>
        </r>
      </text>
    </comment>
    <comment ref="D9" authorId="0" shapeId="0">
      <text>
        <r>
          <rPr>
            <sz val="9"/>
            <color indexed="81"/>
            <rFont val="Tahoma"/>
            <family val="2"/>
          </rPr>
          <t xml:space="preserve">Batch ID is a Required value and should be of 6 Character Length.  This value appears under the report title "Journal Date" in the UMGM7062 or UMGL7062 Transaction Detail Report.
</t>
        </r>
      </text>
    </comment>
    <comment ref="F9" authorId="0" shapeId="0">
      <text>
        <r>
          <rPr>
            <sz val="9"/>
            <color indexed="81"/>
            <rFont val="Tahoma"/>
            <family val="2"/>
          </rPr>
          <t xml:space="preserve">Batch Header Date is a Required value.  This Batch Header Date will be used as the Journal Date.
</t>
        </r>
        <r>
          <rPr>
            <b/>
            <sz val="9"/>
            <color indexed="81"/>
            <rFont val="Tahoma"/>
            <family val="2"/>
          </rPr>
          <t>Note:</t>
        </r>
        <r>
          <rPr>
            <sz val="9"/>
            <color indexed="81"/>
            <rFont val="Tahoma"/>
            <family val="2"/>
          </rPr>
          <t xml:space="preserve"> The LAST Day to Upload a Batch into a Closing Accounting Month is Tuesday of the Closing Week of the next calendar month.  The BATCH HEADER Date for a Batch ID (before the Wednesday of the Closing Week) MUST reflect a date in the current Open Accounting Month IF it is designated to post in the Open Accounting Month.
</t>
        </r>
        <r>
          <rPr>
            <b/>
            <u/>
            <sz val="9"/>
            <color indexed="81"/>
            <rFont val="Tahoma"/>
            <family val="2"/>
          </rPr>
          <t>Rule on Batch Header Dates:</t>
        </r>
        <r>
          <rPr>
            <sz val="9"/>
            <color indexed="81"/>
            <rFont val="Tahoma"/>
            <family val="2"/>
          </rPr>
          <t xml:space="preserve">
In order to post your batch to an Accounting Month, the batch header date MUST reflect a date within that Accounting Month AND the Accounting Period for that month must still be OPEN.  Likewise, for your batch date for posting into the last month of the fiscal year that is closing should reflect HEADER Date for a Batch ID (before the Wednesday of the Closing Week) MUST reflect a date in the current Open Accounting Month IF it is designated to post in the Open Accounting Month.
</t>
        </r>
        <r>
          <rPr>
            <b/>
            <u/>
            <sz val="9"/>
            <color indexed="81"/>
            <rFont val="Tahoma"/>
            <family val="2"/>
          </rPr>
          <t>Rule on Batch Header Dates:</t>
        </r>
        <r>
          <rPr>
            <sz val="9"/>
            <color indexed="81"/>
            <rFont val="Tahoma"/>
            <family val="2"/>
          </rPr>
          <t xml:space="preserve">
In order to post your batch to an Accounting Month, the batch header date MUST reflect a date within that Accounting Month AND the Accounting Period for that month must still be OPEN.  Likewise, for your batch date for posting into the last month of the fiscal year that is closing should reflect the month of June while the fiscal year is Still OPEN.
</t>
        </r>
        <r>
          <rPr>
            <b/>
            <u/>
            <sz val="9"/>
            <color indexed="81"/>
            <rFont val="Tahoma"/>
            <family val="2"/>
          </rPr>
          <t>Rules for determining the Closing Week of an Accounting Month:</t>
        </r>
        <r>
          <rPr>
            <sz val="9"/>
            <color indexed="81"/>
            <rFont val="Tahoma"/>
            <family val="2"/>
          </rPr>
          <t xml:space="preserve">
If the first day of the calendar month falls on a Sunday, Monday or Tuesday, then that is the Month End Closing Week.  Otherwise, the Month End Closing Week falls on the following week.  This rule does not apply to Year End Closing.  Please refer to the Administration and Finance Year End Closing memo.  
</t>
        </r>
      </text>
    </comment>
    <comment ref="L10" authorId="0" shapeId="0">
      <text>
        <r>
          <rPr>
            <sz val="9"/>
            <color indexed="81"/>
            <rFont val="Tahoma"/>
            <family val="2"/>
          </rPr>
          <t xml:space="preserve">The Batch Control Total reflects the Total of the Absolute Value of every transaction line.
</t>
        </r>
      </text>
    </comment>
    <comment ref="A12" authorId="0" shapeId="0">
      <text>
        <r>
          <rPr>
            <sz val="9"/>
            <color indexed="81"/>
            <rFont val="Tahoma"/>
            <family val="2"/>
          </rPr>
          <t xml:space="preserve">The batch Header Description is a Required value.  Its is a 15 character field is used to identify the Recharge entry.  Enter a brief description of what the Recharge is for. </t>
        </r>
      </text>
    </comment>
    <comment ref="H12" authorId="0" shapeId="0">
      <text>
        <r>
          <rPr>
            <sz val="9"/>
            <color indexed="81"/>
            <rFont val="Tahoma"/>
            <family val="2"/>
          </rPr>
          <t xml:space="preserve">Batch Originator - The  PeopleSoft User ID is recommended as the value entered.
</t>
        </r>
      </text>
    </comment>
    <comment ref="M13" authorId="0" shapeId="0">
      <text>
        <r>
          <rPr>
            <sz val="9"/>
            <color indexed="81"/>
            <rFont val="Tahoma"/>
            <family val="2"/>
          </rPr>
          <t xml:space="preserve">Net of Debit and Credit Transactions </t>
        </r>
        <r>
          <rPr>
            <b/>
            <sz val="9"/>
            <color indexed="81"/>
            <rFont val="Tahoma"/>
            <family val="2"/>
          </rPr>
          <t>MUST</t>
        </r>
        <r>
          <rPr>
            <sz val="9"/>
            <color indexed="81"/>
            <rFont val="Tahoma"/>
            <family val="2"/>
          </rPr>
          <t xml:space="preserve"> be Zero.
</t>
        </r>
      </text>
    </comment>
    <comment ref="B15" authorId="0" shapeId="0">
      <text>
        <r>
          <rPr>
            <sz val="9"/>
            <color indexed="81"/>
            <rFont val="Tahoma"/>
            <family val="2"/>
          </rPr>
          <t xml:space="preserve">Business Unit is a Required value.
</t>
        </r>
      </text>
    </comment>
    <comment ref="C15" authorId="0" shapeId="0">
      <text>
        <r>
          <rPr>
            <sz val="9"/>
            <color indexed="81"/>
            <rFont val="Tahoma"/>
            <family val="2"/>
          </rPr>
          <t xml:space="preserve">Account Code is a Required value - Expense Account Codes begin with "7" and Revenue Account Codes begin with "6".
</t>
        </r>
      </text>
    </comment>
    <comment ref="D15" authorId="0" shapeId="0">
      <text>
        <r>
          <rPr>
            <sz val="9"/>
            <color indexed="81"/>
            <rFont val="Tahoma"/>
            <family val="2"/>
          </rPr>
          <t xml:space="preserve">Speedtype is a Required value. However, if it is left Blank, then Fund, DeptID and Program MUST be populated.
</t>
        </r>
      </text>
    </comment>
    <comment ref="E15" authorId="0" shapeId="0">
      <text>
        <r>
          <rPr>
            <sz val="9"/>
            <color indexed="81"/>
            <rFont val="Tahoma"/>
            <family val="2"/>
          </rPr>
          <t xml:space="preserve">Fund Code is a Required value IF Speedtype is Blank.
</t>
        </r>
      </text>
    </comment>
    <comment ref="F15" authorId="0" shapeId="0">
      <text>
        <r>
          <rPr>
            <sz val="9"/>
            <color indexed="81"/>
            <rFont val="Tahoma"/>
            <family val="2"/>
          </rPr>
          <t xml:space="preserve">Department ID is a Required value IF Speedtype is Blank.
</t>
        </r>
      </text>
    </comment>
    <comment ref="G15" authorId="0" shapeId="0">
      <text>
        <r>
          <rPr>
            <sz val="9"/>
            <color indexed="81"/>
            <rFont val="Tahoma"/>
            <family val="2"/>
          </rPr>
          <t xml:space="preserve">Program Code is a  Required value IF Speedtype is Blank.
</t>
        </r>
      </text>
    </comment>
    <comment ref="I15" authorId="0" shapeId="0">
      <text>
        <r>
          <rPr>
            <sz val="9"/>
            <color indexed="81"/>
            <rFont val="Tahoma"/>
            <family val="2"/>
          </rPr>
          <t xml:space="preserve">Project ID is a Required value Only If Charging a Project and Speedtype is Blank.   </t>
        </r>
        <r>
          <rPr>
            <b/>
            <sz val="9"/>
            <color indexed="81"/>
            <rFont val="Tahoma"/>
            <family val="2"/>
          </rPr>
          <t>Note</t>
        </r>
        <r>
          <rPr>
            <sz val="9"/>
            <color indexed="81"/>
            <rFont val="Tahoma"/>
            <family val="2"/>
          </rPr>
          <t xml:space="preserve"> that Recharge Revenue CANNOT be made to Project Grants.
</t>
        </r>
      </text>
    </comment>
    <comment ref="J15" authorId="0" shapeId="0">
      <text>
        <r>
          <rPr>
            <sz val="9"/>
            <color indexed="81"/>
            <rFont val="Tahoma"/>
            <family val="2"/>
          </rPr>
          <t>Additional desc or reference to a source document (eg. PO).
This value Does Not appear in report UMGM7062 or UMGL7062.</t>
        </r>
      </text>
    </comment>
    <comment ref="K15" authorId="0" shapeId="0">
      <text>
        <r>
          <rPr>
            <sz val="9"/>
            <color indexed="81"/>
            <rFont val="Tahoma"/>
            <family val="2"/>
          </rPr>
          <t>Monetary Amount is a Required value.  A typical  Expense Charge is Positive and Revenue received is typically Negative. The amount sign can be reversed when reversing a Recharge uploaded in error.  
This value appears under report title "Transaction Amount of the UMGM7062 or UMGL7062 report.</t>
        </r>
      </text>
    </comment>
    <comment ref="L15" authorId="0" shapeId="0">
      <text>
        <r>
          <rPr>
            <sz val="9"/>
            <color indexed="81"/>
            <rFont val="Tahoma"/>
            <family val="2"/>
          </rPr>
          <t xml:space="preserve">Transaction Line Description is a Required value.  This value appears under the report title "Vendor / Description" on UMGM7062 or UMGL706 Transaction Detail Report.
</t>
        </r>
      </text>
    </comment>
    <comment ref="M15" authorId="0" shapeId="0">
      <text>
        <r>
          <rPr>
            <b/>
            <sz val="9"/>
            <color indexed="81"/>
            <rFont val="Tahoma"/>
            <family val="2"/>
          </rPr>
          <t>For a Recharge transaction:</t>
        </r>
        <r>
          <rPr>
            <sz val="9"/>
            <color indexed="81"/>
            <rFont val="Tahoma"/>
            <family val="2"/>
          </rPr>
          <t xml:space="preserve"> This is the name of individual ordering goods or services.
For an Expense Transfer:  This is the name of the individual requesting the expense transfer.
This value Does Not appear in report UMGM7062 or UMGL7062.</t>
        </r>
      </text>
    </comment>
    <comment ref="N15" authorId="0" shapeId="0">
      <text>
        <r>
          <rPr>
            <sz val="9"/>
            <color indexed="81"/>
            <rFont val="Tahoma"/>
            <family val="2"/>
          </rPr>
          <t xml:space="preserve">Transaction Date is a Required value.  This value appears under the report title "Trans Date / Invoice DT" on UMGM7062 or UMGL7062 Transaction Detail Report.
</t>
        </r>
        <r>
          <rPr>
            <b/>
            <sz val="9"/>
            <color indexed="81"/>
            <rFont val="Tahoma"/>
            <family val="2"/>
          </rPr>
          <t xml:space="preserve">
</t>
        </r>
      </text>
    </comment>
    <comment ref="O15" authorId="0" shapeId="0">
      <text>
        <r>
          <rPr>
            <sz val="9"/>
            <color indexed="81"/>
            <rFont val="Tahoma"/>
            <family val="2"/>
          </rPr>
          <t xml:space="preserve">Additional desc or reference to a source document.  This value appears under the report title "Voucher ID / Batch ID" on UMGM7062 or UMGL7062 Transaction Detail Report.
</t>
        </r>
      </text>
    </comment>
    <comment ref="P15" authorId="0" shapeId="0">
      <text>
        <r>
          <rPr>
            <sz val="9"/>
            <color indexed="81"/>
            <rFont val="Tahoma"/>
            <family val="2"/>
          </rPr>
          <t xml:space="preserve">Additional description or reference to a source document.  Appears under report title "Invoice# / Card Holder / Reference" on the UMGM7062 or UMGL7062 report.
</t>
        </r>
      </text>
    </comment>
    <comment ref="Q15" authorId="0" shapeId="0">
      <text>
        <r>
          <rPr>
            <sz val="9"/>
            <color indexed="81"/>
            <rFont val="Tahoma"/>
            <family val="2"/>
          </rPr>
          <t xml:space="preserve">Additional desc or reference to a source document. This value appears under the report title "PO# / Trans ID" on UMGM7062 or UMGL7062 Transaction Detail Report.
</t>
        </r>
      </text>
    </comment>
    <comment ref="R15" authorId="0" shapeId="0">
      <text>
        <r>
          <rPr>
            <sz val="9"/>
            <color indexed="81"/>
            <rFont val="Tahoma"/>
            <family val="2"/>
          </rPr>
          <t xml:space="preserve">Additional description or reference to a source document.
</t>
        </r>
      </text>
    </comment>
  </commentList>
</comments>
</file>

<file path=xl/comments2.xml><?xml version="1.0" encoding="utf-8"?>
<comments xmlns="http://schemas.openxmlformats.org/spreadsheetml/2006/main">
  <authors>
    <author>Wood, Stuart</author>
  </authors>
  <commentList>
    <comment ref="D14" authorId="0" shapeId="0">
      <text>
        <r>
          <rPr>
            <b/>
            <sz val="9"/>
            <color indexed="81"/>
            <rFont val="Tahoma"/>
            <family val="2"/>
          </rPr>
          <t>Formulas - Name Manager</t>
        </r>
      </text>
    </comment>
  </commentList>
</comments>
</file>

<file path=xl/connections.xml><?xml version="1.0" encoding="utf-8"?>
<connections xmlns="http://schemas.openxmlformats.org/spreadsheetml/2006/main">
  <connection id="1" name="Connection" type="4" refreshedVersion="2" background="1" saveData="1">
    <webPr sourceData="1" parsePre="1" consecutive="1" xl2000="1" url="http://cf.umassadmin.net/finance/crosswalk/GetCFData4PA.cfm?BU=0&amp;AcctCode=0"/>
  </connection>
  <connection id="2" name="Connection1" type="4" refreshedVersion="2" background="1" saveData="1">
    <webPr sourceData="1" parsePre="1" consecutive="1" xl2000="1" url="http://cf.umassadmin.net/finance/crosswalk/GetCFData4PA.cfm?BU=0&amp;AcctCode=0"/>
  </connection>
  <connection id="3" name="Connection10" type="4" refreshedVersion="2" background="1" saveData="1">
    <webPr sourceData="1" parsePre="1" consecutive="1" xl2000="1" url="http://cf.umassadmin.net/finance/crosswalk/GetCFData4PA.cfm?BU=0&amp;AcctCode=0"/>
  </connection>
  <connection id="4" name="Connection100" type="4" refreshedVersion="2" background="1" saveData="1">
    <webPr sourceData="1" parsePre="1" consecutive="1" xl2000="1" url="http://cf.umassadmin.net/finance/crosswalk/GetCFData4PA.cfm?BU=0&amp;AcctCode=0"/>
  </connection>
  <connection id="5" name="Connection1000" type="4" refreshedVersion="3" background="1" saveData="1">
    <webPr sourceData="1" parsePre="1" consecutive="1" xl2000="1" url="http://cf.umassadmin.net/finance/crosswalk/GetCFData4PA2.cfm?BU=0&amp;SpeedKey=0"/>
  </connection>
  <connection id="6" name="Connection1001" type="4" refreshedVersion="3" background="1" saveData="1">
    <webPr sourceData="1" parsePre="1" consecutive="1" xl2000="1" url="http://cf.umassadmin.net/finance/crosswalk/GetCFData4PA2.cfm?BU=0&amp;SpeedKey=0"/>
  </connection>
  <connection id="7" name="Connection1002" type="4" refreshedVersion="3" background="1" saveData="1">
    <webPr sourceData="1" parsePre="1" consecutive="1" xl2000="1" url="http://cf.umassadmin.net/finance/crosswalk/GetCFData4PA2.cfm?BU=0&amp;SpeedKey=0"/>
  </connection>
  <connection id="8" name="Connection1003" type="4" refreshedVersion="3" background="1" saveData="1">
    <webPr sourceData="1" parsePre="1" consecutive="1" xl2000="1" url="http://cf.umassadmin.net/finance/crosswalk/GetCFData4PA2.cfm?BU=0&amp;SpeedKey=0"/>
  </connection>
  <connection id="9" name="Connection1004" type="4" refreshedVersion="2" background="1" saveData="1">
    <webPr sourceData="1" parsePre="1" consecutive="1" xl2000="1" url="http://cf.umassadmin.net/finance/crosswalk/GetCFData4PA2.cfm?BU=0&amp;SpeedKey=0"/>
  </connection>
  <connection id="10" name="Connection1005" type="4" refreshedVersion="3" background="1" saveData="1">
    <webPr sourceData="1" parsePre="1" consecutive="1" xl2000="1" url="http://cf.umassadmin.net/finance/crosswalk/GetCFData4PA2.cfm?BU=0&amp;SpeedKey=0"/>
  </connection>
  <connection id="11" name="Connection1006" type="4" refreshedVersion="2" background="1" saveData="1">
    <webPr sourceData="1" parsePre="1" consecutive="1" xl2000="1" url="http://cf.umassadmin.net/finance/crosswalk/GetCFData4PA2.cfm?BU=0&amp;SpeedKey=0"/>
  </connection>
  <connection id="12" name="Connection1007" type="4" refreshedVersion="3" background="1" saveData="1">
    <webPr sourceData="1" parsePre="1" consecutive="1" xl2000="1" url="http://cf.umassadmin.net/finance/crosswalk/GetCFData4PA2.cfm?BU=0&amp;SpeedKey=0"/>
  </connection>
  <connection id="13" name="Connection1008" type="4" refreshedVersion="3" background="1" saveData="1">
    <webPr sourceData="1" parsePre="1" consecutive="1" xl2000="1" url="http://cf.umassadmin.net/finance/crosswalk/GetCFData4PA2.cfm?BU=0&amp;SpeedKey=0"/>
  </connection>
  <connection id="14" name="Connection1009" type="4" refreshedVersion="3" background="1" saveData="1">
    <webPr sourceData="1" parsePre="1" consecutive="1" xl2000="1" url="http://cf.umassadmin.net/finance/crosswalk/GetCFData4PA2.cfm?BU=0&amp;SpeedKey=0"/>
  </connection>
  <connection id="15" name="Connection101" type="4" refreshedVersion="2" background="1" saveData="1">
    <webPr sourceData="1" parsePre="1" consecutive="1" xl2000="1" url="http://cf.umassadmin.net/finance/crosswalk/GetCFData4PA.cfm?BU=0&amp;AcctCode=0"/>
  </connection>
  <connection id="16" name="Connection1010" type="4" refreshedVersion="2" background="1" saveData="1">
    <webPr sourceData="1" parsePre="1" consecutive="1" xl2000="1" url="http://cf.umassadmin.net/finance/crosswalk/GetCFData4PA2.cfm?BU=0&amp;SpeedKey=0"/>
  </connection>
  <connection id="17" name="Connection1011" type="4" refreshedVersion="3" background="1" saveData="1">
    <webPr sourceData="1" parsePre="1" consecutive="1" xl2000="1" url="http://cf.umassadmin.net/finance/crosswalk/GetCFData4PA2.cfm?BU=0&amp;SpeedKey=0"/>
  </connection>
  <connection id="18" name="Connection1012" type="4" refreshedVersion="3" background="1" saveData="1">
    <webPr sourceData="1" parsePre="1" consecutive="1" xl2000="1" url="http://cf.umassadmin.net/finance/crosswalk/GetCFData4PA2.cfm?BU=0&amp;SpeedKey=0"/>
  </connection>
  <connection id="19" name="Connection1013" type="4" refreshedVersion="3" background="1" saveData="1">
    <webPr sourceData="1" parsePre="1" consecutive="1" xl2000="1" url="http://cf.umassadmin.net/finance/crosswalk/GetCFData4PA2.cfm?BU=0&amp;SpeedKey=0"/>
  </connection>
  <connection id="20" name="Connection1014" type="4" refreshedVersion="2" background="1" saveData="1">
    <webPr sourceData="1" parsePre="1" consecutive="1" xl2000="1" url="http://cf.umassadmin.net/finance/crosswalk/GetCFData4PA2.cfm?BU=0&amp;SpeedKey=0"/>
  </connection>
  <connection id="21" name="Connection1015" type="4" refreshedVersion="3" background="1" saveData="1">
    <webPr sourceData="1" parsePre="1" consecutive="1" xl2000="1" url="http://cf.umassadmin.net/finance/crosswalk/GetCFData4PA2.cfm?BU=0&amp;SpeedKey=0"/>
  </connection>
  <connection id="22" name="Connection1016" type="4" refreshedVersion="2" background="1" saveData="1">
    <webPr sourceData="1" parsePre="1" consecutive="1" xl2000="1" url="http://cf.umassadmin.net/finance/crosswalk/GetCFData4PA2.cfm?BU=0&amp;SpeedKey=0"/>
  </connection>
  <connection id="23" name="Connection1017" type="4" refreshedVersion="2" background="1" saveData="1">
    <webPr sourceData="1" parsePre="1" consecutive="1" xl2000="1" url="http://cf.umassadmin.net/finance/crosswalk/GetCFData4PA2.cfm?BU=0&amp;SpeedKey=0"/>
  </connection>
  <connection id="24" name="Connection1018" type="4" refreshedVersion="2" background="1" saveData="1">
    <webPr sourceData="1" parsePre="1" consecutive="1" xl2000="1" url="http://cf.umassadmin.net/finance/crosswalk/GetCFData4PA2.cfm?BU=0&amp;SpeedKey=0"/>
  </connection>
  <connection id="25" name="Connection1019" type="4" refreshedVersion="2" background="1" saveData="1">
    <webPr sourceData="1" parsePre="1" consecutive="1" xl2000="1" url="http://cf.umassadmin.net/finance/crosswalk/GetCFData4PA2.cfm?BU=0&amp;SpeedKey=0"/>
  </connection>
  <connection id="26" name="Connection102" type="4" refreshedVersion="2" background="1" saveData="1">
    <webPr sourceData="1" parsePre="1" consecutive="1" xl2000="1" url="http://cf.umassadmin.net/finance/crosswalk/GetCFData4PA.cfm?BU=0&amp;AcctCode=0"/>
  </connection>
  <connection id="27" name="Connection1020" type="4" refreshedVersion="2" background="1" saveData="1">
    <webPr sourceData="1" parsePre="1" consecutive="1" xl2000="1" url="http://cf.umassadmin.net/finance/crosswalk/GetCFData4PA2.cfm?BU=0&amp;SpeedKey=0"/>
  </connection>
  <connection id="28" name="Connection1021" type="4" refreshedVersion="3" background="1" saveData="1">
    <webPr sourceData="1" parsePre="1" consecutive="1" xl2000="1" url="http://cf.umassadmin.net/finance/crosswalk/GetCFData4PA2.cfm?BU=0&amp;SpeedKey=0"/>
  </connection>
  <connection id="29" name="Connection1022" type="4" refreshedVersion="3" background="1" saveData="1">
    <webPr sourceData="1" parsePre="1" consecutive="1" xl2000="1" url="http://cf.umassadmin.net/finance/crosswalk/GetCFData4PA2.cfm?BU=0&amp;SpeedKey=0"/>
  </connection>
  <connection id="30" name="Connection1023" type="4" refreshedVersion="3" background="1" saveData="1">
    <webPr sourceData="1" parsePre="1" consecutive="1" xl2000="1" url="http://cf.umassadmin.net/finance/crosswalk/GetCFData4PA2.cfm?BU=0&amp;SpeedKey=0"/>
  </connection>
  <connection id="31" name="Connection1024" type="4" refreshedVersion="3" background="1" saveData="1">
    <webPr sourceData="1" parsePre="1" consecutive="1" xl2000="1" url="http://cf.umassadmin.net/finance/crosswalk/GetCFData4PA2.cfm?BU=0&amp;SpeedKey=0"/>
  </connection>
  <connection id="32" name="Connection1025" type="4" refreshedVersion="2" background="1" saveData="1">
    <webPr sourceData="1" parsePre="1" consecutive="1" xl2000="1" url="http://cf.umassadmin.net/finance/crosswalk/GetCFData4PA2.cfm?BU=0&amp;SpeedKey=0"/>
  </connection>
  <connection id="33" name="Connection1026" type="4" refreshedVersion="2" background="1" saveData="1">
    <webPr sourceData="1" parsePre="1" consecutive="1" xl2000="1" url="http://cf.umassadmin.net/finance/crosswalk/GetCFData4PA2.cfm?BU=0&amp;SpeedKey=0"/>
  </connection>
  <connection id="34" name="Connection1027" type="4" refreshedVersion="3" background="1" saveData="1">
    <webPr sourceData="1" parsePre="1" consecutive="1" xl2000="1" url="http://cf.umassadmin.net/finance/crosswalk/GetCFData4PA2.cfm?BU=0&amp;SpeedKey=0"/>
  </connection>
  <connection id="35" name="Connection1028" type="4" refreshedVersion="2" background="1" saveData="1">
    <webPr sourceData="1" parsePre="1" consecutive="1" xl2000="1" url="http://cf.umassadmin.net/finance/crosswalk/GetCFData4PA2.cfm?BU=0&amp;SpeedKey=0"/>
  </connection>
  <connection id="36" name="Connection1029" type="4" refreshedVersion="3" background="1" saveData="1">
    <webPr sourceData="1" parsePre="1" consecutive="1" xl2000="1" url="http://cf.umassadmin.net/finance/crosswalk/GetCFData4PA2.cfm?BU=0&amp;SpeedKey=0"/>
  </connection>
  <connection id="37" name="Connection103" type="4" refreshedVersion="2" background="1" saveData="1">
    <webPr sourceData="1" parsePre="1" consecutive="1" xl2000="1" url="http://cf.umassadmin.net/finance/crosswalk/GetCFData4PA.cfm?BU=0&amp;AcctCode=0"/>
  </connection>
  <connection id="38" name="Connection1030" type="4" refreshedVersion="2" background="1" saveData="1">
    <webPr sourceData="1" parsePre="1" consecutive="1" xl2000="1" url="http://cf.umassadmin.net/finance/crosswalk/GetCFData4PA2.cfm?BU=0&amp;SpeedKey=0"/>
  </connection>
  <connection id="39" name="Connection1031" type="4" refreshedVersion="3" background="1" saveData="1">
    <webPr sourceData="1" parsePre="1" consecutive="1" xl2000="1" url="http://cf.umassadmin.net/finance/crosswalk/GetCFData4PA2.cfm?BU=0&amp;SpeedKey=0"/>
  </connection>
  <connection id="40" name="Connection1032" type="4" refreshedVersion="2" background="1" saveData="1">
    <webPr sourceData="1" parsePre="1" consecutive="1" xl2000="1" url="http://cf.umassadmin.net/finance/crosswalk/GetCFData4PA2.cfm?BU=0&amp;SpeedKey=0"/>
  </connection>
  <connection id="41" name="Connection1033" type="4" refreshedVersion="2" background="1" saveData="1">
    <webPr sourceData="1" parsePre="1" consecutive="1" xl2000="1" url="http://cf.umassadmin.net/finance/crosswalk/GetCFData4PA2.cfm?BU=0&amp;SpeedKey=0"/>
  </connection>
  <connection id="42" name="Connection1034" type="4" refreshedVersion="3" background="1" saveData="1">
    <webPr sourceData="1" parsePre="1" consecutive="1" xl2000="1" url="http://cf.umassadmin.net/finance/crosswalk/GetCFData4PA2.cfm?BU=0&amp;SpeedKey=0"/>
  </connection>
  <connection id="43" name="Connection1035" type="4" refreshedVersion="3" background="1" saveData="1">
    <webPr sourceData="1" parsePre="1" consecutive="1" xl2000="1" url="http://cf.umassadmin.net/finance/crosswalk/GetCFData4PA2.cfm?BU=0&amp;SpeedKey=0"/>
  </connection>
  <connection id="44" name="Connection1036" type="4" refreshedVersion="3" background="1" saveData="1">
    <webPr sourceData="1" parsePre="1" consecutive="1" xl2000="1" url="http://cf.umassadmin.net/finance/crosswalk/GetCFData4PA2.cfm?BU=0&amp;SpeedKey=0"/>
  </connection>
  <connection id="45" name="Connection1037" type="4" refreshedVersion="2" background="1" saveData="1">
    <webPr sourceData="1" parsePre="1" consecutive="1" xl2000="1" url="http://cf.umassadmin.net/finance/crosswalk/GetCFData4PA2.cfm?BU=0&amp;SpeedKey=0"/>
  </connection>
  <connection id="46" name="Connection1038" type="4" refreshedVersion="3" background="1" saveData="1">
    <webPr sourceData="1" parsePre="1" consecutive="1" xl2000="1" url="http://cf.umassadmin.net/finance/crosswalk/GetCFData4PA2.cfm?BU=0&amp;SpeedKey=0"/>
  </connection>
  <connection id="47" name="Connection1039" type="4" refreshedVersion="3" background="1" saveData="1">
    <webPr sourceData="1" parsePre="1" consecutive="1" xl2000="1" url="http://cf.umassadmin.net/finance/crosswalk/GetCFData4PA2.cfm?BU=0&amp;SpeedKey=0"/>
  </connection>
  <connection id="48" name="Connection104" type="4" refreshedVersion="3" background="1" saveData="1">
    <webPr sourceData="1" parsePre="1" consecutive="1" xl2000="1" url="http://cf.umassadmin.net/finance/crosswalk/GetCFData4PA2.cfm?BU=0&amp;SpeedKey=0"/>
  </connection>
  <connection id="49" name="Connection1040" type="4" refreshedVersion="2" background="1" saveData="1">
    <webPr sourceData="1" parsePre="1" consecutive="1" xl2000="1" url="http://cf.umassadmin.net/finance/crosswalk/GetCFData4PA2.cfm?BU=0&amp;SpeedKey=0"/>
  </connection>
  <connection id="50" name="Connection1041" type="4" refreshedVersion="2" background="1" saveData="1">
    <webPr sourceData="1" parsePre="1" consecutive="1" xl2000="1" url="http://cf.umassadmin.net/finance/crosswalk/GetCFData4PA2.cfm?BU=0&amp;SpeedKey=0"/>
  </connection>
  <connection id="51" name="Connection1042" type="4" refreshedVersion="2" background="1" saveData="1">
    <webPr sourceData="1" parsePre="1" consecutive="1" xl2000="1" url="http://cf.umassadmin.net/finance/crosswalk/GetCFData4PA2.cfm?BU=0&amp;SpeedKey=0"/>
  </connection>
  <connection id="52" name="Connection1043" type="4" refreshedVersion="2" background="1" saveData="1">
    <webPr sourceData="1" parsePre="1" consecutive="1" xl2000="1" url="http://cf.umassadmin.net/finance/crosswalk/GetCFData4PA2.cfm?BU=0&amp;SpeedKey=0"/>
  </connection>
  <connection id="53" name="Connection1044" type="4" refreshedVersion="2" background="1" saveData="1">
    <webPr sourceData="1" parsePre="1" consecutive="1" xl2000="1" url="http://cf.umassadmin.net/finance/crosswalk/GetCFData4PA2.cfm?BU=0&amp;SpeedKey=0"/>
  </connection>
  <connection id="54" name="Connection1045" type="4" refreshedVersion="3" background="1" saveData="1">
    <webPr sourceData="1" parsePre="1" consecutive="1" xl2000="1" url="http://cf.umassadmin.net/finance/crosswalk/GetCFData4PA2.cfm?BU=0&amp;SpeedKey=0"/>
  </connection>
  <connection id="55" name="Connection1046" type="4" refreshedVersion="2" background="1" saveData="1">
    <webPr sourceData="1" parsePre="1" consecutive="1" xl2000="1" url="http://cf.umassadmin.net/finance/crosswalk/GetCFData4PA2.cfm?BU=0&amp;SpeedKey=0"/>
  </connection>
  <connection id="56" name="Connection1047" type="4" refreshedVersion="2" background="1" saveData="1">
    <webPr sourceData="1" parsePre="1" consecutive="1" xl2000="1" url="http://cf.umassadmin.net/finance/crosswalk/GetCFData4PA2.cfm?BU=0&amp;SpeedKey=0"/>
  </connection>
  <connection id="57" name="Connection1048" type="4" refreshedVersion="3" background="1" saveData="1">
    <webPr sourceData="1" parsePre="1" consecutive="1" xl2000="1" url="http://cf.umassadmin.net/finance/crosswalk/GetCFData4PA2.cfm?BU=0&amp;SpeedKey=0"/>
  </connection>
  <connection id="58" name="Connection1049" type="4" refreshedVersion="2" background="1" saveData="1">
    <webPr sourceData="1" parsePre="1" consecutive="1" xl2000="1" url="http://cf.umassadmin.net/finance/crosswalk/GetCFData4PA2.cfm?BU=0&amp;SpeedKey=0"/>
  </connection>
  <connection id="59" name="Connection105" type="4" refreshedVersion="2" background="1" saveData="1">
    <webPr sourceData="1" parsePre="1" consecutive="1" xl2000="1" url="http://cf.umassadmin.net/finance/crosswalk/GetCFData4PA.cfm?BU=0&amp;AcctCode=0"/>
  </connection>
  <connection id="60" name="Connection1050" type="4" refreshedVersion="3" background="1" saveData="1">
    <webPr sourceData="1" parsePre="1" consecutive="1" xl2000="1" url="http://cf.umassadmin.net/finance/crosswalk/GetCFData4PA2.cfm?BU=0&amp;SpeedKey=0"/>
  </connection>
  <connection id="61" name="Connection1051" type="4" refreshedVersion="2" background="1" saveData="1">
    <webPr sourceData="1" parsePre="1" consecutive="1" xl2000="1" url="http://cf.umassadmin.net/finance/crosswalk/GetCFData4PA2.cfm?BU=0&amp;SpeedKey=0"/>
  </connection>
  <connection id="62" name="Connection1052" type="4" refreshedVersion="3" background="1" saveData="1">
    <webPr sourceData="1" parsePre="1" consecutive="1" xl2000="1" url="http://cf.umassadmin.net/finance/crosswalk/GetCFData4PA2.cfm?BU=0&amp;SpeedKey=0"/>
  </connection>
  <connection id="63" name="Connection1053" type="4" refreshedVersion="2" background="1" saveData="1">
    <webPr sourceData="1" parsePre="1" consecutive="1" xl2000="1" url="http://cf.umassadmin.net/finance/crosswalk/GetCFData4PA2.cfm?BU=0&amp;SpeedKey=0"/>
  </connection>
  <connection id="64" name="Connection1054" type="4" refreshedVersion="3" background="1" saveData="1">
    <webPr sourceData="1" parsePre="1" consecutive="1" xl2000="1" url="http://cf.umassadmin.net/finance/crosswalk/GetCFData4PA2.cfm?BU=0&amp;SpeedKey=0"/>
  </connection>
  <connection id="65" name="Connection1055" type="4" refreshedVersion="2" background="1" saveData="1">
    <webPr sourceData="1" parsePre="1" consecutive="1" xl2000="1" url="http://cf.umassadmin.net/finance/crosswalk/GetCFData4PA2.cfm?BU=0&amp;SpeedKey=0"/>
  </connection>
  <connection id="66" name="Connection1056" type="4" refreshedVersion="3" background="1" saveData="1">
    <webPr sourceData="1" parsePre="1" consecutive="1" xl2000="1" url="http://cf.umassadmin.net/finance/crosswalk/GetCFData4PA2.cfm?BU=0&amp;SpeedKey=0"/>
  </connection>
  <connection id="67" name="Connection1057" type="4" refreshedVersion="3" background="1" saveData="1">
    <webPr sourceData="1" parsePre="1" consecutive="1" xl2000="1" url="http://cf.umassadmin.net/finance/crosswalk/GetCFData4PA2.cfm?BU=0&amp;SpeedKey=0"/>
  </connection>
  <connection id="68" name="Connection1058" type="4" refreshedVersion="2" background="1" saveData="1">
    <webPr sourceData="1" parsePre="1" consecutive="1" xl2000="1" url="http://cf.umassadmin.net/finance/crosswalk/GetCFData4PA2.cfm?BU=0&amp;SpeedKey=0"/>
  </connection>
  <connection id="69" name="Connection1059" type="4" refreshedVersion="2" background="1" saveData="1">
    <webPr sourceData="1" parsePre="1" consecutive="1" xl2000="1" url="http://cf.umassadmin.net/finance/crosswalk/GetCFData4PA2.cfm?BU=0&amp;SpeedKey=0"/>
  </connection>
  <connection id="70" name="Connection106" type="4" refreshedVersion="3" background="1" saveData="1">
    <webPr sourceData="1" parsePre="1" consecutive="1" xl2000="1" url="http://cf.umassadmin.net/finance/crosswalk/GetCFData4PA2.cfm?BU=0&amp;SpeedKey=0"/>
  </connection>
  <connection id="71" name="Connection1060" type="4" refreshedVersion="2" background="1" saveData="1">
    <webPr sourceData="1" parsePre="1" consecutive="1" xl2000="1" url="http://cf.umassadmin.net/finance/crosswalk/GetCFData4PA2.cfm?BU=0&amp;SpeedKey=0"/>
  </connection>
  <connection id="72" name="Connection1061" type="4" refreshedVersion="2" background="1" saveData="1">
    <webPr sourceData="1" parsePre="1" consecutive="1" xl2000="1" url="http://cf.umassadmin.net/finance/crosswalk/GetCFData4PA2.cfm?BU=0&amp;SpeedKey=0"/>
  </connection>
  <connection id="73" name="Connection1062" type="4" refreshedVersion="3" background="1" saveData="1">
    <webPr sourceData="1" parsePre="1" consecutive="1" xl2000="1" url="http://cf.umassadmin.net/finance/crosswalk/GetCFData4PA2.cfm?BU=0&amp;SpeedKey=0"/>
  </connection>
  <connection id="74" name="Connection1063" type="4" refreshedVersion="2" background="1" saveData="1">
    <webPr sourceData="1" parsePre="1" consecutive="1" xl2000="1" url="http://cf.umassadmin.net/finance/crosswalk/GetCFData4PA2.cfm?BU=0&amp;SpeedKey=0"/>
  </connection>
  <connection id="75" name="Connection1064" type="4" refreshedVersion="3" background="1" saveData="1">
    <webPr sourceData="1" parsePre="1" consecutive="1" xl2000="1" url="http://cf.umassadmin.net/finance/crosswalk/GetCFData4PA2.cfm?BU=0&amp;SpeedKey=0"/>
  </connection>
  <connection id="76" name="Connection1065" type="4" refreshedVersion="2" background="1" saveData="1">
    <webPr sourceData="1" parsePre="1" consecutive="1" xl2000="1" url="http://cf.umassadmin.net/finance/crosswalk/GetCFData4PA2.cfm?BU=0&amp;SpeedKey=0"/>
  </connection>
  <connection id="77" name="Connection1066" type="4" refreshedVersion="2" background="1" saveData="1">
    <webPr sourceData="1" parsePre="1" consecutive="1" xl2000="1" url="http://cf.umassadmin.net/finance/crosswalk/GetCFData4PA2.cfm?BU=0&amp;SpeedKey=0"/>
  </connection>
  <connection id="78" name="Connection1067" type="4" refreshedVersion="3" background="1" saveData="1">
    <webPr sourceData="1" parsePre="1" consecutive="1" xl2000="1" url="http://cf.umassadmin.net/finance/crosswalk/GetCFData4PA2.cfm?BU=0&amp;SpeedKey=0"/>
  </connection>
  <connection id="79" name="Connection1068" type="4" refreshedVersion="3" background="1" saveData="1">
    <webPr sourceData="1" parsePre="1" consecutive="1" xl2000="1" url="http://cf.umassadmin.net/finance/crosswalk/GetCFData4PA2.cfm?BU=0&amp;SpeedKey=0"/>
  </connection>
  <connection id="80" name="Connection1069" type="4" refreshedVersion="2" background="1" saveData="1">
    <webPr sourceData="1" parsePre="1" consecutive="1" xl2000="1" url="http://cf.umassadmin.net/finance/crosswalk/GetCFData4PA2.cfm?BU=0&amp;SpeedKey=0"/>
  </connection>
  <connection id="81" name="Connection107" type="4" refreshedVersion="3" background="1" saveData="1">
    <webPr sourceData="1" parsePre="1" consecutive="1" xl2000="1" url="http://cf.umassadmin.net/finance/crosswalk/GetCFData4PA2.cfm?BU=0&amp;SpeedKey=0"/>
  </connection>
  <connection id="82" name="Connection1070" type="4" refreshedVersion="3" background="1" saveData="1">
    <webPr sourceData="1" parsePre="1" consecutive="1" xl2000="1" url="http://cf.umassadmin.net/finance/crosswalk/GetCFData4PA2.cfm?BU=0&amp;SpeedKey=0"/>
  </connection>
  <connection id="83" name="Connection1071" type="4" refreshedVersion="2" background="1" saveData="1">
    <webPr sourceData="1" parsePre="1" consecutive="1" xl2000="1" url="http://cf.umassadmin.net/finance/crosswalk/GetCFData4PA2.cfm?BU=0&amp;SpeedKey=0"/>
  </connection>
  <connection id="84" name="Connection1072" type="4" refreshedVersion="2" background="1" saveData="1">
    <webPr sourceData="1" parsePre="1" consecutive="1" xl2000="1" url="http://cf.umassadmin.net/finance/crosswalk/GetCFData4PA2.cfm?BU=0&amp;SpeedKey=0"/>
  </connection>
  <connection id="85" name="Connection1073" type="4" refreshedVersion="2" background="1" saveData="1">
    <webPr sourceData="1" parsePre="1" consecutive="1" xl2000="1" url="http://cf.umassadmin.net/finance/crosswalk/GetCFData4PA2.cfm?BU=0&amp;SpeedKey=0"/>
  </connection>
  <connection id="86" name="Connection1074" type="4" refreshedVersion="3" background="1" saveData="1">
    <webPr sourceData="1" parsePre="1" consecutive="1" xl2000="1" url="http://cf.umassadmin.net/finance/crosswalk/GetCFData4PA2.cfm?BU=0&amp;SpeedKey=0"/>
  </connection>
  <connection id="87" name="Connection1075" type="4" refreshedVersion="3" background="1" saveData="1">
    <webPr sourceData="1" parsePre="1" consecutive="1" xl2000="1" url="http://cf.umassadmin.net/finance/crosswalk/GetCFData4PA2.cfm?BU=0&amp;SpeedKey=0"/>
  </connection>
  <connection id="88" name="Connection1076" type="4" refreshedVersion="2" background="1" saveData="1">
    <webPr sourceData="1" parsePre="1" consecutive="1" xl2000="1" url="http://cf.umassadmin.net/finance/crosswalk/GetCFData4PA2.cfm?BU=0&amp;SpeedKey=0"/>
  </connection>
  <connection id="89" name="Connection1077" type="4" refreshedVersion="3" background="1" saveData="1">
    <webPr sourceData="1" parsePre="1" consecutive="1" xl2000="1" url="http://cf.umassadmin.net/finance/crosswalk/GetCFData4PA2.cfm?BU=0&amp;SpeedKey=0"/>
  </connection>
  <connection id="90" name="Connection1078" type="4" refreshedVersion="3" background="1" saveData="1">
    <webPr sourceData="1" parsePre="1" consecutive="1" xl2000="1" url="http://cf.umassadmin.net/finance/crosswalk/GetCFData4PA2.cfm?BU=0&amp;SpeedKey=0"/>
  </connection>
  <connection id="91" name="Connection1079" type="4" refreshedVersion="3" background="1" saveData="1">
    <webPr sourceData="1" parsePre="1" consecutive="1" xl2000="1" url="http://cf.umassadmin.net/finance/crosswalk/GetCFData4PA2.cfm?BU=0&amp;SpeedKey=0"/>
  </connection>
  <connection id="92" name="Connection108" type="4" refreshedVersion="3" background="1" saveData="1">
    <webPr sourceData="1" parsePre="1" consecutive="1" xl2000="1" url="http://cf.umassadmin.net/finance/crosswalk/GetCFData4PA2.cfm?BU=0&amp;SpeedKey=0"/>
  </connection>
  <connection id="93" name="Connection1080" type="4" refreshedVersion="3" background="1" saveData="1">
    <webPr sourceData="1" parsePre="1" consecutive="1" xl2000="1" url="http://cf.umassadmin.net/finance/crosswalk/GetCFData4PA2.cfm?BU=0&amp;SpeedKey=0"/>
  </connection>
  <connection id="94" name="Connection1081" type="4" refreshedVersion="2" background="1" saveData="1">
    <webPr sourceData="1" parsePre="1" consecutive="1" xl2000="1" url="http://cf.umassadmin.net/finance/crosswalk/GetCFData4PA2.cfm?BU=0&amp;SpeedKey=0"/>
  </connection>
  <connection id="95" name="Connection1082" type="4" refreshedVersion="2" background="1" saveData="1">
    <webPr sourceData="1" parsePre="1" consecutive="1" xl2000="1" url="http://cf.umassadmin.net/finance/crosswalk/GetCFData4PA2.cfm?BU=0&amp;SpeedKey=0"/>
  </connection>
  <connection id="96" name="Connection109" type="4" refreshedVersion="2" background="1" saveData="1">
    <webPr sourceData="1" parsePre="1" consecutive="1" xl2000="1" url="http://cf.umassadmin.net/finance/crosswalk/GetCFData4PA.cfm?BU=0&amp;AcctCode=0"/>
  </connection>
  <connection id="97" name="Connection11" type="4" refreshedVersion="3" background="1" saveData="1">
    <webPr sourceData="1" parsePre="1" consecutive="1" xl2000="1" url="http://cf.umassadmin.net/finance/crosswalk/GetCFData4PA2.cfm?BU=0&amp;SpeedKey=0"/>
  </connection>
  <connection id="98" name="Connection110" type="4" refreshedVersion="3" background="1" saveData="1">
    <webPr sourceData="1" parsePre="1" consecutive="1" xl2000="1" url="http://cf.umassadmin.net/finance/crosswalk/GetCFData4PA2.cfm?BU=0&amp;SpeedKey=0"/>
  </connection>
  <connection id="99" name="Connection111" type="4" refreshedVersion="2" background="1" saveData="1">
    <webPr sourceData="1" parsePre="1" consecutive="1" xl2000="1" url="http://cf.umassadmin.net/finance/crosswalk/GetCFData4PA.cfm?BU=0&amp;AcctCode=0"/>
  </connection>
  <connection id="100" name="Connection112" type="4" refreshedVersion="3" background="1" saveData="1">
    <webPr sourceData="1" parsePre="1" consecutive="1" xl2000="1" url="http://cf.umassadmin.net/finance/crosswalk/GetCFData4PA2.cfm?BU=0&amp;SpeedKey=0"/>
  </connection>
  <connection id="101" name="Connection113" type="4" refreshedVersion="2" background="1" saveData="1">
    <webPr sourceData="1" parsePre="1" consecutive="1" xl2000="1" url="http://cf.umassadmin.net/finance/crosswalk/GetCFData4PA.cfm?BU=0&amp;AcctCode=0"/>
  </connection>
  <connection id="102" name="Connection114" type="4" refreshedVersion="3" background="1" saveData="1">
    <webPr sourceData="1" parsePre="1" consecutive="1" xl2000="1" url="http://cf.umassadmin.net/finance/crosswalk/GetCFData4PA2.cfm?BU=0&amp;SpeedKey=0"/>
  </connection>
  <connection id="103" name="Connection115" type="4" refreshedVersion="2" background="1" saveData="1">
    <webPr sourceData="1" parsePre="1" consecutive="1" xl2000="1" url="http://cf.umassadmin.net/finance/crosswalk/GetCFData4PA.cfm?BU=0&amp;AcctCode=0"/>
  </connection>
  <connection id="104" name="Connection116" type="4" refreshedVersion="2" background="1" saveData="1">
    <webPr sourceData="1" parsePre="1" consecutive="1" xl2000="1" url="http://cf.umassadmin.net/finance/crosswalk/GetCFData4PA.cfm?BU=0&amp;AcctCode=0"/>
  </connection>
  <connection id="105" name="Connection117" type="4" refreshedVersion="3" background="1" saveData="1">
    <webPr sourceData="1" parsePre="1" consecutive="1" xl2000="1" url="http://cf.umassadmin.net/finance/crosswalk/GetCFData4PA2.cfm?BU=0&amp;SpeedKey=0"/>
  </connection>
  <connection id="106" name="Connection118" type="4" refreshedVersion="3" background="1" saveData="1">
    <webPr sourceData="1" parsePre="1" consecutive="1" xl2000="1" url="http://cf.umassadmin.net/finance/crosswalk/GetCFData4PA2.cfm?BU=0&amp;SpeedKey=0"/>
  </connection>
  <connection id="107" name="Connection119" type="4" refreshedVersion="2" background="1" saveData="1">
    <webPr sourceData="1" parsePre="1" consecutive="1" xl2000="1" url="http://cf.umassadmin.net/finance/crosswalk/GetCFData4PA.cfm?BU=0&amp;AcctCode=0"/>
  </connection>
  <connection id="108" name="Connection12" type="4" refreshedVersion="2" background="1" saveData="1">
    <webPr sourceData="1" parsePre="1" consecutive="1" xl2000="1" url="http://cf.umassadmin.net/finance/crosswalk/GetCFData4PA.cfm?BU=0&amp;AcctCode=0"/>
  </connection>
  <connection id="109" name="Connection120" type="4" refreshedVersion="3" background="1" saveData="1">
    <webPr sourceData="1" parsePre="1" consecutive="1" xl2000="1" url="http://cf.umassadmin.net/finance/crosswalk/GetCFData4PA2.cfm?BU=0&amp;SpeedKey=0"/>
  </connection>
  <connection id="110" name="Connection121" type="4" refreshedVersion="2" background="1" saveData="1">
    <webPr sourceData="1" parsePre="1" consecutive="1" xl2000="1" url="http://cf.umassadmin.net/finance/crosswalk/GetCFData4PA.cfm?BU=0&amp;AcctCode=0"/>
  </connection>
  <connection id="111" name="Connection122" type="4" refreshedVersion="2" background="1" saveData="1">
    <webPr sourceData="1" parsePre="1" consecutive="1" xl2000="1" url="http://cf.umassadmin.net/finance/crosswalk/GetCFData4PA.cfm?BU=0&amp;AcctCode=0"/>
  </connection>
  <connection id="112" name="Connection123" type="4" refreshedVersion="3" background="1" saveData="1">
    <webPr sourceData="1" parsePre="1" consecutive="1" xl2000="1" url="http://cf.umassadmin.net/finance/crosswalk/GetCFData4PA2.cfm?BU=0&amp;SpeedKey=0"/>
  </connection>
  <connection id="113" name="Connection124" type="4" refreshedVersion="2" background="1" saveData="1">
    <webPr sourceData="1" parsePre="1" consecutive="1" xl2000="1" url="http://cf.umassadmin.net/finance/crosswalk/GetCFData4PA.cfm?BU=0&amp;AcctCode=0"/>
  </connection>
  <connection id="114" name="Connection125" type="4" refreshedVersion="2" background="1" saveData="1">
    <webPr sourceData="1" parsePre="1" consecutive="1" xl2000="1" url="http://cf.umassadmin.net/finance/crosswalk/GetCFData4PA.cfm?BU=0&amp;AcctCode=0"/>
  </connection>
  <connection id="115" name="Connection126" type="4" refreshedVersion="3" background="1" saveData="1">
    <webPr sourceData="1" parsePre="1" consecutive="1" xl2000="1" url="http://cf.umassadmin.net/finance/crosswalk/GetCFData4PA2.cfm?BU=0&amp;SpeedKey=0"/>
  </connection>
  <connection id="116" name="Connection127" type="4" refreshedVersion="2" background="1" saveData="1">
    <webPr sourceData="1" parsePre="1" consecutive="1" xl2000="1" url="http://cf.umassadmin.net/finance/crosswalk/GetCFData4PA.cfm?BU=0&amp;AcctCode=0"/>
  </connection>
  <connection id="117" name="Connection128" type="4" refreshedVersion="2" background="1" saveData="1">
    <webPr sourceData="1" parsePre="1" consecutive="1" xl2000="1" url="http://cf.umassadmin.net/finance/crosswalk/GetCFData4PA.cfm?BU=0&amp;AcctCode=0"/>
  </connection>
  <connection id="118" name="Connection129" type="4" refreshedVersion="2" background="1" saveData="1">
    <webPr sourceData="1" parsePre="1" consecutive="1" xl2000="1" url="http://cf.umassadmin.net/finance/crosswalk/GetCFData4PA.cfm?BU=0&amp;AcctCode=0"/>
  </connection>
  <connection id="119" name="Connection13" type="4" refreshedVersion="2" background="1" saveData="1">
    <webPr sourceData="1" parsePre="1" consecutive="1" xl2000="1" url="http://cf.umassadmin.net/finance/crosswalk/GetCFData4PA.cfm?BU=0&amp;AcctCode=0"/>
  </connection>
  <connection id="120" name="Connection130" type="4" refreshedVersion="2" background="1" saveData="1">
    <webPr sourceData="1" parsePre="1" consecutive="1" xl2000="1" url="http://cf.umassadmin.net/finance/crosswalk/GetCFData4PA.cfm?BU=0&amp;AcctCode=0"/>
  </connection>
  <connection id="121" name="Connection131" type="4" refreshedVersion="3" background="1" saveData="1">
    <webPr sourceData="1" parsePre="1" consecutive="1" xl2000="1" url="http://cf.umassadmin.net/finance/crosswalk/GetCFData4PA2.cfm?BU=0&amp;SpeedKey=0"/>
  </connection>
  <connection id="122" name="Connection132" type="4" refreshedVersion="3" background="1" saveData="1">
    <webPr sourceData="1" parsePre="1" consecutive="1" xl2000="1" url="http://cf.umassadmin.net/finance/crosswalk/GetCFData4PA2.cfm?BU=0&amp;SpeedKey=0"/>
  </connection>
  <connection id="123" name="Connection133" type="4" refreshedVersion="3" background="1" saveData="1">
    <webPr sourceData="1" parsePre="1" consecutive="1" xl2000="1" url="http://cf.umassadmin.net/finance/crosswalk/GetCFData4PA2.cfm?BU=0&amp;SpeedKey=0"/>
  </connection>
  <connection id="124" name="Connection134" type="4" refreshedVersion="2" background="1" saveData="1">
    <webPr sourceData="1" parsePre="1" consecutive="1" xl2000="1" url="http://cf.umassadmin.net/finance/crosswalk/GetCFData4PA.cfm?BU=0&amp;AcctCode=0"/>
  </connection>
  <connection id="125" name="Connection135" type="4" refreshedVersion="3" background="1" saveData="1">
    <webPr sourceData="1" parsePre="1" consecutive="1" xl2000="1" url="http://cf.umassadmin.net/finance/crosswalk/GetCFData4PA2.cfm?BU=0&amp;SpeedKey=0"/>
  </connection>
  <connection id="126" name="Connection136" type="4" refreshedVersion="3" background="1" saveData="1">
    <webPr sourceData="1" parsePre="1" consecutive="1" xl2000="1" url="http://cf.umassadmin.net/finance/crosswalk/GetCFData4PA2.cfm?BU=0&amp;SpeedKey=0"/>
  </connection>
  <connection id="127" name="Connection137" type="4" refreshedVersion="3" background="1" saveData="1">
    <webPr sourceData="1" parsePre="1" consecutive="1" xl2000="1" url="http://cf.umassadmin.net/finance/crosswalk/GetCFData4PA2.cfm?BU=0&amp;SpeedKey=0"/>
  </connection>
  <connection id="128" name="Connection138" type="4" refreshedVersion="3" background="1" saveData="1">
    <webPr sourceData="1" parsePre="1" consecutive="1" xl2000="1" url="http://cf.umassadmin.net/finance/crosswalk/GetCFData4PA2.cfm?BU=0&amp;SpeedKey=0"/>
  </connection>
  <connection id="129" name="Connection139" type="4" refreshedVersion="2" background="1" saveData="1">
    <webPr sourceData="1" parsePre="1" consecutive="1" xl2000="1" url="http://cf.umassadmin.net/finance/crosswalk/GetCFData4PA.cfm?BU=0&amp;AcctCode=0"/>
  </connection>
  <connection id="130" name="Connection14" type="4" refreshedVersion="3" background="1" saveData="1">
    <webPr sourceData="1" parsePre="1" consecutive="1" xl2000="1" url="http://cf.umassadmin.net/finance/crosswalk/GetCFData4PA2.cfm?BU=0&amp;SpeedKey=0"/>
  </connection>
  <connection id="131" name="Connection140" type="4" refreshedVersion="3" background="1" saveData="1">
    <webPr sourceData="1" parsePre="1" consecutive="1" xl2000="1" url="http://cf.umassadmin.net/finance/crosswalk/GetCFData4PA2.cfm?BU=0&amp;SpeedKey=0"/>
  </connection>
  <connection id="132" name="Connection141" type="4" refreshedVersion="3" background="1" saveData="1">
    <webPr sourceData="1" parsePre="1" consecutive="1" xl2000="1" url="http://cf.umassadmin.net/finance/crosswalk/GetCFData4PA2.cfm?BU=0&amp;SpeedKey=0"/>
  </connection>
  <connection id="133" name="Connection142" type="4" refreshedVersion="3" background="1" saveData="1">
    <webPr sourceData="1" parsePre="1" consecutive="1" xl2000="1" url="http://cf.umassadmin.net/finance/crosswalk/GetCFData4PA2.cfm?BU=0&amp;SpeedKey=0"/>
  </connection>
  <connection id="134" name="Connection143" type="4" refreshedVersion="3" background="1" saveData="1">
    <webPr sourceData="1" parsePre="1" consecutive="1" xl2000="1" url="http://cf.umassadmin.net/finance/crosswalk/GetCFData4PA2.cfm?BU=0&amp;SpeedKey=0"/>
  </connection>
  <connection id="135" name="Connection144" type="4" refreshedVersion="3" background="1" saveData="1">
    <webPr sourceData="1" parsePre="1" consecutive="1" xl2000="1" url="http://cf.umassadmin.net/finance/crosswalk/GetCFData4PA2.cfm?BU=0&amp;SpeedKey=0"/>
  </connection>
  <connection id="136" name="Connection145" type="4" refreshedVersion="2" background="1" saveData="1">
    <webPr sourceData="1" parsePre="1" consecutive="1" xl2000="1" url="http://cf.umassadmin.net/finance/crosswalk/GetCFData4PA.cfm?BU=0&amp;AcctCode=0"/>
  </connection>
  <connection id="137" name="Connection146" type="4" refreshedVersion="2" background="1" saveData="1">
    <webPr sourceData="1" parsePre="1" consecutive="1" xl2000="1" url="http://cf.umassadmin.net/finance/crosswalk/GetCFData4PA.cfm?BU=0&amp;AcctCode=0"/>
  </connection>
  <connection id="138" name="Connection147" type="4" refreshedVersion="3" background="1" saveData="1">
    <webPr sourceData="1" parsePre="1" consecutive="1" xl2000="1" url="http://cf.umassadmin.net/finance/crosswalk/GetCFData4PA2.cfm?BU=0&amp;SpeedKey=0"/>
  </connection>
  <connection id="139" name="Connection148" type="4" refreshedVersion="3" background="1" saveData="1">
    <webPr sourceData="1" parsePre="1" consecutive="1" xl2000="1" url="http://cf.umassadmin.net/finance/crosswalk/GetCFData4PA2.cfm?BU=0&amp;SpeedKey=0"/>
  </connection>
  <connection id="140" name="Connection149" type="4" refreshedVersion="3" background="1" saveData="1">
    <webPr sourceData="1" parsePre="1" consecutive="1" xl2000="1" url="http://cf.umassadmin.net/finance/crosswalk/GetCFData4PA2.cfm?BU=0&amp;SpeedKey=0"/>
  </connection>
  <connection id="141" name="Connection15" type="4" refreshedVersion="3" background="1" saveData="1">
    <webPr sourceData="1" parsePre="1" consecutive="1" xl2000="1" url="http://cf.umassadmin.net/finance/crosswalk/GetCFData4PA2.cfm?BU=0&amp;SpeedKey=0"/>
  </connection>
  <connection id="142" name="Connection150" type="4" refreshedVersion="2" background="1" saveData="1">
    <webPr sourceData="1" parsePre="1" consecutive="1" xl2000="1" url="http://cf.umassadmin.net/finance/crosswalk/GetCFData4PA.cfm?BU=0&amp;AcctCode=0"/>
  </connection>
  <connection id="143" name="Connection151" type="4" refreshedVersion="2" background="1" saveData="1">
    <webPr sourceData="1" parsePre="1" consecutive="1" xl2000="1" url="http://cf.umassadmin.net/finance/crosswalk/GetCFData4PA.cfm?BU=0&amp;AcctCode=0"/>
  </connection>
  <connection id="144" name="Connection152" type="4" refreshedVersion="3" background="1" saveData="1">
    <webPr sourceData="1" parsePre="1" consecutive="1" xl2000="1" url="http://cf.umassadmin.net/finance/crosswalk/GetCFData4PA2.cfm?BU=0&amp;SpeedKey=0"/>
  </connection>
  <connection id="145" name="Connection153" type="4" refreshedVersion="3" background="1" saveData="1">
    <webPr sourceData="1" parsePre="1" consecutive="1" xl2000="1" url="http://cf.umassadmin.net/finance/crosswalk/GetCFData4PA2.cfm?BU=0&amp;SpeedKey=0"/>
  </connection>
  <connection id="146" name="Connection154" type="4" refreshedVersion="3" background="1" saveData="1">
    <webPr sourceData="1" parsePre="1" consecutive="1" xl2000="1" url="http://cf.umassadmin.net/finance/crosswalk/GetCFData4PA2.cfm?BU=0&amp;SpeedKey=0"/>
  </connection>
  <connection id="147" name="Connection155" type="4" refreshedVersion="2" background="1" saveData="1">
    <webPr sourceData="1" parsePre="1" consecutive="1" xl2000="1" url="http://cf.umassadmin.net/finance/crosswalk/GetCFData4PA.cfm?BU=0&amp;AcctCode=0"/>
  </connection>
  <connection id="148" name="Connection156" type="4" refreshedVersion="2" background="1" saveData="1">
    <webPr sourceData="1" parsePre="1" consecutive="1" xl2000="1" url="http://cf.umassadmin.net/finance/crosswalk/GetCFData4PA.cfm?BU=0&amp;AcctCode=0"/>
  </connection>
  <connection id="149" name="Connection157" type="4" refreshedVersion="3" background="1" saveData="1">
    <webPr sourceData="1" parsePre="1" consecutive="1" xl2000="1" url="http://cf.umassadmin.net/finance/crosswalk/GetCFData4PA2.cfm?BU=0&amp;SpeedKey=0"/>
  </connection>
  <connection id="150" name="Connection158" type="4" refreshedVersion="2" background="1" saveData="1">
    <webPr sourceData="1" parsePre="1" consecutive="1" xl2000="1" url="http://cf.umassadmin.net/finance/crosswalk/GetCFData4PA.cfm?BU=0&amp;AcctCode=0"/>
  </connection>
  <connection id="151" name="Connection159" type="4" refreshedVersion="3" background="1" saveData="1">
    <webPr sourceData="1" parsePre="1" consecutive="1" xl2000="1" url="http://cf.umassadmin.net/finance/crosswalk/GetCFData4PA2.cfm?BU=0&amp;SpeedKey=0"/>
  </connection>
  <connection id="152" name="Connection16" type="4" refreshedVersion="2" background="1" saveData="1">
    <webPr sourceData="1" parsePre="1" consecutive="1" xl2000="1" url="http://cf.umassadmin.net/finance/crosswalk/GetCFData4PA.cfm?BU=0&amp;AcctCode=0"/>
  </connection>
  <connection id="153" name="Connection160" type="4" refreshedVersion="3" background="1" saveData="1">
    <webPr sourceData="1" parsePre="1" consecutive="1" xl2000="1" url="http://cf.umassadmin.net/finance/crosswalk/GetCFData4PA2.cfm?BU=0&amp;SpeedKey=0"/>
  </connection>
  <connection id="154" name="Connection161" type="4" refreshedVersion="2" background="1" saveData="1">
    <webPr sourceData="1" parsePre="1" consecutive="1" xl2000="1" url="http://cf.umassadmin.net/finance/crosswalk/GetCFData4PA.cfm?BU=0&amp;AcctCode=0"/>
  </connection>
  <connection id="155" name="Connection162" type="4" refreshedVersion="2" background="1" saveData="1">
    <webPr sourceData="1" parsePre="1" consecutive="1" xl2000="1" url="http://cf.umassadmin.net/finance/crosswalk/GetCFData4PA.cfm?BU=0&amp;AcctCode=0"/>
  </connection>
  <connection id="156" name="Connection163" type="4" refreshedVersion="2" background="1" saveData="1">
    <webPr sourceData="1" parsePre="1" consecutive="1" xl2000="1" url="http://cf.umassadmin.net/finance/crosswalk/GetCFData4PA.cfm?BU=0&amp;AcctCode=0"/>
  </connection>
  <connection id="157" name="Connection164" type="4" refreshedVersion="2" background="1" saveData="1">
    <webPr sourceData="1" parsePre="1" consecutive="1" xl2000="1" url="http://cf.umassadmin.net/finance/crosswalk/GetCFData4PA.cfm?BU=0&amp;AcctCode=0"/>
  </connection>
  <connection id="158" name="Connection165" type="4" refreshedVersion="2" background="1" saveData="1">
    <webPr sourceData="1" parsePre="1" consecutive="1" xl2000="1" url="http://cf.umassadmin.net/finance/crosswalk/GetCFData4PA.cfm?BU=0&amp;AcctCode=0"/>
  </connection>
  <connection id="159" name="Connection166" type="4" refreshedVersion="3" background="1" saveData="1">
    <webPr sourceData="1" parsePre="1" consecutive="1" xl2000="1" url="http://cf.umassadmin.net/finance/crosswalk/GetCFData4PA2.cfm?BU=0&amp;SpeedKey=0"/>
  </connection>
  <connection id="160" name="Connection167" type="4" refreshedVersion="2" background="1" saveData="1">
    <webPr sourceData="1" parsePre="1" consecutive="1" xl2000="1" url="http://cf.umassadmin.net/finance/crosswalk/GetCFData4PA.cfm?BU=0&amp;AcctCode=0"/>
  </connection>
  <connection id="161" name="Connection168" type="4" refreshedVersion="3" background="1" saveData="1">
    <webPr sourceData="1" parsePre="1" consecutive="1" xl2000="1" url="http://cf.umassadmin.net/finance/crosswalk/GetCFData4PA2.cfm?BU=0&amp;SpeedKey=0"/>
  </connection>
  <connection id="162" name="Connection169" type="4" refreshedVersion="3" background="1" saveData="1">
    <webPr sourceData="1" parsePre="1" consecutive="1" xl2000="1" url="http://cf.umassadmin.net/finance/crosswalk/GetCFData4PA2.cfm?BU=0&amp;SpeedKey=0"/>
  </connection>
  <connection id="163" name="Connection17" type="4" refreshedVersion="3" background="1" saveData="1">
    <webPr sourceData="1" parsePre="1" consecutive="1" xl2000="1" url="http://cf.umassadmin.net/finance/crosswalk/GetCFData4PA2.cfm?BU=0&amp;SpeedKey=0"/>
  </connection>
  <connection id="164" name="Connection170" type="4" refreshedVersion="3" background="1" saveData="1">
    <webPr sourceData="1" parsePre="1" consecutive="1" xl2000="1" url="http://cf.umassadmin.net/finance/crosswalk/GetCFData4PA2.cfm?BU=0&amp;SpeedKey=0"/>
  </connection>
  <connection id="165" name="Connection171" type="4" refreshedVersion="2" background="1" saveData="1">
    <webPr sourceData="1" parsePre="1" consecutive="1" xl2000="1" url="http://cf.umassadmin.net/finance/crosswalk/GetCFData4PA.cfm?BU=0&amp;AcctCode=0"/>
  </connection>
  <connection id="166" name="Connection172" type="4" refreshedVersion="3" background="1" saveData="1">
    <webPr sourceData="1" parsePre="1" consecutive="1" xl2000="1" url="http://cf.umassadmin.net/finance/crosswalk/GetCFData4PA2.cfm?BU=0&amp;SpeedKey=0"/>
  </connection>
  <connection id="167" name="Connection173" type="4" refreshedVersion="2" background="1" saveData="1">
    <webPr sourceData="1" parsePre="1" consecutive="1" xl2000="1" url="http://cf.umassadmin.net/finance/crosswalk/GetCFData4PA.cfm?BU=0&amp;AcctCode=0"/>
  </connection>
  <connection id="168" name="Connection174" type="4" refreshedVersion="2" background="1" saveData="1">
    <webPr sourceData="1" parsePre="1" consecutive="1" xl2000="1" url="http://cf.umassadmin.net/finance/crosswalk/GetCFData4PA.cfm?BU=0&amp;AcctCode=0"/>
  </connection>
  <connection id="169" name="Connection175" type="4" refreshedVersion="2" background="1" saveData="1">
    <webPr sourceData="1" parsePre="1" consecutive="1" xl2000="1" url="http://cf.umassadmin.net/finance/crosswalk/GetCFData4PA.cfm?BU=0&amp;AcctCode=0"/>
  </connection>
  <connection id="170" name="Connection176" type="4" refreshedVersion="3" background="1" saveData="1">
    <webPr sourceData="1" parsePre="1" consecutive="1" xl2000="1" url="http://cf.umassadmin.net/finance/crosswalk/GetCFData4PA2.cfm?BU=0&amp;SpeedKey=0"/>
  </connection>
  <connection id="171" name="Connection177" type="4" refreshedVersion="2" background="1" saveData="1">
    <webPr sourceData="1" parsePre="1" consecutive="1" xl2000="1" url="http://cf.umassadmin.net/finance/crosswalk/GetCFData4PA.cfm?BU=0&amp;AcctCode=0"/>
  </connection>
  <connection id="172" name="Connection178" type="4" refreshedVersion="3" background="1" saveData="1">
    <webPr sourceData="1" parsePre="1" consecutive="1" xl2000="1" url="http://cf.umassadmin.net/finance/crosswalk/GetCFData4PA2.cfm?BU=0&amp;SpeedKey=0"/>
  </connection>
  <connection id="173" name="Connection179" type="4" refreshedVersion="2" background="1" saveData="1">
    <webPr sourceData="1" parsePre="1" consecutive="1" xl2000="1" url="http://cf.umassadmin.net/finance/crosswalk/GetCFData4PA.cfm?BU=0&amp;AcctCode=0"/>
  </connection>
  <connection id="174" name="Connection18" type="4" refreshedVersion="2" background="1" saveData="1">
    <webPr sourceData="1" parsePre="1" consecutive="1" xl2000="1" url="http://cf.umassadmin.net/finance/crosswalk/GetCFData4PA.cfm?BU=0&amp;AcctCode=0"/>
  </connection>
  <connection id="175" name="Connection180" type="4" refreshedVersion="2" background="1" saveData="1">
    <webPr sourceData="1" parsePre="1" consecutive="1" xl2000="1" url="http://cf.umassadmin.net/finance/crosswalk/GetCFData4PA.cfm?BU=0&amp;AcctCode=0"/>
  </connection>
  <connection id="176" name="Connection181" type="4" refreshedVersion="2" background="1" saveData="1">
    <webPr sourceData="1" parsePre="1" consecutive="1" xl2000="1" url="http://cf.umassadmin.net/finance/crosswalk/GetCFData4PA.cfm?BU=0&amp;AcctCode=0"/>
  </connection>
  <connection id="177" name="Connection182" type="4" refreshedVersion="2" background="1" saveData="1">
    <webPr sourceData="1" parsePre="1" consecutive="1" xl2000="1" url="http://cf.umassadmin.net/finance/crosswalk/GetCFData4PA.cfm?BU=0&amp;AcctCode=0"/>
  </connection>
  <connection id="178" name="Connection183" type="4" refreshedVersion="3" background="1" saveData="1">
    <webPr sourceData="1" parsePre="1" consecutive="1" xl2000="1" url="http://cf.umassadmin.net/finance/crosswalk/GetCFData4PA2.cfm?BU=0&amp;SpeedKey=0"/>
  </connection>
  <connection id="179" name="Connection184" type="4" refreshedVersion="2" background="1" saveData="1">
    <webPr sourceData="1" parsePre="1" consecutive="1" xl2000="1" url="http://cf.umassadmin.net/finance/crosswalk/GetCFData4PA.cfm?BU=0&amp;AcctCode=0"/>
  </connection>
  <connection id="180" name="Connection185" type="4" refreshedVersion="3" background="1" saveData="1">
    <webPr sourceData="1" parsePre="1" consecutive="1" xl2000="1" url="http://cf.umassadmin.net/finance/crosswalk/GetCFData4PA2.cfm?BU=0&amp;SpeedKey=0"/>
  </connection>
  <connection id="181" name="Connection186" type="4" refreshedVersion="3" background="1" saveData="1">
    <webPr sourceData="1" parsePre="1" consecutive="1" xl2000="1" url="http://cf.umassadmin.net/finance/crosswalk/GetCFData4PA2.cfm?BU=0&amp;SpeedKey=0"/>
  </connection>
  <connection id="182" name="Connection187" type="4" refreshedVersion="2" background="1" saveData="1">
    <webPr sourceData="1" parsePre="1" consecutive="1" xl2000="1" url="http://cf.umassadmin.net/finance/crosswalk/GetCFData4PA.cfm?BU=0&amp;AcctCode=0"/>
  </connection>
  <connection id="183" name="Connection188" type="4" refreshedVersion="2" background="1" saveData="1">
    <webPr sourceData="1" parsePre="1" consecutive="1" xl2000="1" url="http://cf.umassadmin.net/finance/crosswalk/GetCFData4PA.cfm?BU=0&amp;AcctCode=0"/>
  </connection>
  <connection id="184" name="Connection189" type="4" refreshedVersion="2" background="1" saveData="1">
    <webPr sourceData="1" parsePre="1" consecutive="1" xl2000="1" url="http://cf.umassadmin.net/finance/crosswalk/GetCFData4PA.cfm?BU=0&amp;AcctCode=0"/>
  </connection>
  <connection id="185" name="Connection19" type="4" refreshedVersion="3" background="1" saveData="1">
    <webPr sourceData="1" parsePre="1" consecutive="1" xl2000="1" url="http://cf.umassadmin.net/finance/crosswalk/GetCFData4PA2.cfm?BU=0&amp;SpeedKey=0"/>
  </connection>
  <connection id="186" name="Connection190" type="4" refreshedVersion="2" background="1" saveData="1">
    <webPr sourceData="1" parsePre="1" consecutive="1" xl2000="1" url="http://cf.umassadmin.net/finance/crosswalk/GetCFData4PA.cfm?BU=0&amp;AcctCode=0"/>
  </connection>
  <connection id="187" name="Connection191" type="4" refreshedVersion="2" background="1" saveData="1">
    <webPr sourceData="1" parsePre="1" consecutive="1" xl2000="1" url="http://cf.umassadmin.net/finance/crosswalk/GetCFData4PA.cfm?BU=0&amp;AcctCode=0"/>
  </connection>
  <connection id="188" name="Connection192" type="4" refreshedVersion="2" background="1" saveData="1">
    <webPr sourceData="1" parsePre="1" consecutive="1" xl2000="1" url="http://cf.umassadmin.net/finance/crosswalk/GetCFData4PA.cfm?BU=0&amp;AcctCode=0"/>
  </connection>
  <connection id="189" name="Connection193" type="4" refreshedVersion="3" background="1" saveData="1">
    <webPr sourceData="1" parsePre="1" consecutive="1" xl2000="1" url="http://cf.umassadmin.net/finance/crosswalk/GetCFData4PA2.cfm?BU=0&amp;SpeedKey=0"/>
  </connection>
  <connection id="190" name="Connection194" type="4" refreshedVersion="3" background="1" saveData="1">
    <webPr sourceData="1" parsePre="1" consecutive="1" xl2000="1" url="http://cf.umassadmin.net/finance/crosswalk/GetCFData4PA2.cfm?BU=0&amp;SpeedKey=0"/>
  </connection>
  <connection id="191" name="Connection195" type="4" refreshedVersion="2" background="1" saveData="1">
    <webPr sourceData="1" parsePre="1" consecutive="1" xl2000="1" url="http://cf.umassadmin.net/finance/crosswalk/GetCFData4PA.cfm?BU=0&amp;AcctCode=0"/>
  </connection>
  <connection id="192" name="Connection196" type="4" refreshedVersion="3" background="1" saveData="1">
    <webPr sourceData="1" parsePre="1" consecutive="1" xl2000="1" url="http://cf.umassadmin.net/finance/crosswalk/GetCFData4PA2.cfm?BU=0&amp;SpeedKey=0"/>
  </connection>
  <connection id="193" name="Connection197" type="4" refreshedVersion="3" background="1" saveData="1">
    <webPr sourceData="1" parsePre="1" consecutive="1" xl2000="1" url="http://cf.umassadmin.net/finance/crosswalk/GetCFData4PA2.cfm?BU=0&amp;SpeedKey=0"/>
  </connection>
  <connection id="194" name="Connection198" type="4" refreshedVersion="3" background="1" saveData="1">
    <webPr sourceData="1" parsePre="1" consecutive="1" xl2000="1" url="http://cf.umassadmin.net/finance/crosswalk/GetCFData4PA2.cfm?BU=0&amp;SpeedKey=0"/>
  </connection>
  <connection id="195" name="Connection199" type="4" refreshedVersion="3" background="1" saveData="1">
    <webPr sourceData="1" parsePre="1" consecutive="1" xl2000="1" url="http://cf.umassadmin.net/finance/crosswalk/GetCFData4PA2.cfm?BU=0&amp;SpeedKey=0"/>
  </connection>
  <connection id="196" name="Connection2" type="4" refreshedVersion="2" background="1" saveData="1">
    <webPr sourceData="1" parsePre="1" consecutive="1" xl2000="1" url="http://cf.umassadmin.net/finance/crosswalk/GetCFData4PA.cfm?BU=0&amp;AcctCode=0"/>
  </connection>
  <connection id="197" name="Connection20" type="4" refreshedVersion="3" background="1" saveData="1">
    <webPr sourceData="1" parsePre="1" consecutive="1" xl2000="1" url="http://cf.umassadmin.net/finance/crosswalk/GetCFData4PA2.cfm?BU=0&amp;SpeedKey=0"/>
  </connection>
  <connection id="198" name="Connection200" type="4" refreshedVersion="3" background="1" saveData="1">
    <webPr sourceData="1" parsePre="1" consecutive="1" xl2000="1" url="http://cf.umassadmin.net/finance/crosswalk/GetCFData4PA2.cfm?BU=0&amp;SpeedKey=0"/>
  </connection>
  <connection id="199" name="Connection201" type="4" refreshedVersion="2" background="1" saveData="1">
    <webPr sourceData="1" parsePre="1" consecutive="1" xl2000="1" url="http://cf.umassadmin.net/finance/crosswalk/GetCFData4PA.cfm?BU=0&amp;AcctCode=0"/>
  </connection>
  <connection id="200" name="Connection202" type="4" refreshedVersion="2" background="1" saveData="1">
    <webPr sourceData="1" parsePre="1" consecutive="1" xl2000="1" url="http://cf.umassadmin.net/finance/crosswalk/GetCFData4PA.cfm?BU=0&amp;AcctCode=0"/>
  </connection>
  <connection id="201" name="Connection203" type="4" refreshedVersion="3" background="1" saveData="1">
    <webPr sourceData="1" parsePre="1" consecutive="1" xl2000="1" url="http://cf.umassadmin.net/finance/crosswalk/GetCFData4PA2.cfm?BU=0&amp;SpeedKey=0"/>
  </connection>
  <connection id="202" name="Connection204" type="4" refreshedVersion="2" background="1" saveData="1">
    <webPr sourceData="1" parsePre="1" consecutive="1" xl2000="1" url="http://cf.umassadmin.net/finance/crosswalk/GetCFData4PA.cfm?BU=0&amp;AcctCode=0"/>
  </connection>
  <connection id="203" name="Connection205" type="4" refreshedVersion="3" background="1" saveData="1">
    <webPr sourceData="1" parsePre="1" consecutive="1" xl2000="1" url="http://cf.umassadmin.net/finance/crosswalk/GetCFData4PA2.cfm?BU=0&amp;SpeedKey=0"/>
  </connection>
  <connection id="204" name="Connection206" type="4" refreshedVersion="3" background="1" saveData="1">
    <webPr sourceData="1" parsePre="1" consecutive="1" xl2000="1" url="http://cf.umassadmin.net/finance/crosswalk/GetCFData4PA2.cfm?BU=0&amp;SpeedKey=0"/>
  </connection>
  <connection id="205" name="Connection207" type="4" refreshedVersion="3" background="1" saveData="1">
    <webPr sourceData="1" parsePre="1" consecutive="1" xl2000="1" url="http://cf.umassadmin.net/finance/crosswalk/GetCFData4PA2.cfm?BU=0&amp;SpeedKey=0"/>
  </connection>
  <connection id="206" name="Connection208" type="4" refreshedVersion="2" background="1" saveData="1">
    <webPr sourceData="1" parsePre="1" consecutive="1" xl2000="1" url="http://cf.umassadmin.net/finance/crosswalk/GetCFData4PA.cfm?BU=0&amp;AcctCode=0"/>
  </connection>
  <connection id="207" name="Connection209" type="4" refreshedVersion="2" background="1" saveData="1">
    <webPr sourceData="1" parsePre="1" consecutive="1" xl2000="1" url="http://cf.umassadmin.net/finance/crosswalk/GetCFData4PA.cfm?BU=0&amp;AcctCode=0"/>
  </connection>
  <connection id="208" name="Connection21" type="4" refreshedVersion="3" background="1" saveData="1">
    <webPr sourceData="1" parsePre="1" consecutive="1" xl2000="1" url="http://cf.umassadmin.net/finance/crosswalk/GetCFData4PA2.cfm?BU=0&amp;SpeedKey=0"/>
  </connection>
  <connection id="209" name="Connection210" type="4" refreshedVersion="2" background="1" saveData="1">
    <webPr sourceData="1" parsePre="1" consecutive="1" xl2000="1" url="http://cf.umassadmin.net/finance/crosswalk/GetCFData4PA.cfm?BU=0&amp;AcctCode=0"/>
  </connection>
  <connection id="210" name="Connection211" type="4" refreshedVersion="2" background="1" saveData="1">
    <webPr sourceData="1" parsePre="1" consecutive="1" xl2000="1" url="http://cf.umassadmin.net/finance/crosswalk/GetCFData4PA.cfm?BU=0&amp;AcctCode=0"/>
  </connection>
  <connection id="211" name="Connection212" type="4" refreshedVersion="2" background="1" saveData="1">
    <webPr sourceData="1" parsePre="1" consecutive="1" xl2000="1" url="http://cf.umassadmin.net/finance/crosswalk/GetCFData4PA.cfm?BU=0&amp;AcctCode=0"/>
  </connection>
  <connection id="212" name="Connection213" type="4" refreshedVersion="3" background="1" saveData="1">
    <webPr sourceData="1" parsePre="1" consecutive="1" xl2000="1" url="http://cf.umassadmin.net/finance/crosswalk/GetCFData4PA2.cfm?BU=0&amp;SpeedKey=0"/>
  </connection>
  <connection id="213" name="Connection214" type="4" refreshedVersion="2" background="1" saveData="1">
    <webPr sourceData="1" parsePre="1" consecutive="1" xl2000="1" url="http://cf.umassadmin.net/finance/crosswalk/GetCFData4PA.cfm?BU=0&amp;AcctCode=0"/>
  </connection>
  <connection id="214" name="Connection215" type="4" refreshedVersion="3" background="1" saveData="1">
    <webPr sourceData="1" parsePre="1" consecutive="1" xl2000="1" url="http://cf.umassadmin.net/finance/crosswalk/GetCFData4PA2.cfm?BU=0&amp;SpeedKey=0"/>
  </connection>
  <connection id="215" name="Connection216" type="4" refreshedVersion="3" background="1" saveData="1">
    <webPr sourceData="1" parsePre="1" consecutive="1" xl2000="1" url="http://cf.umassadmin.net/finance/crosswalk/GetCFData4PA2.cfm?BU=0&amp;SpeedKey=0"/>
  </connection>
  <connection id="216" name="Connection217" type="4" refreshedVersion="3" background="1" saveData="1">
    <webPr sourceData="1" parsePre="1" consecutive="1" xl2000="1" url="http://cf.umassadmin.net/finance/crosswalk/GetCFData4PA2.cfm?BU=0&amp;SpeedKey=0"/>
  </connection>
  <connection id="217" name="Connection218" type="4" refreshedVersion="3" background="1" saveData="1">
    <webPr sourceData="1" parsePre="1" consecutive="1" xl2000="1" url="http://cf.umassadmin.net/finance/crosswalk/GetCFData4PA2.cfm?BU=0&amp;SpeedKey=0"/>
  </connection>
  <connection id="218" name="Connection219" type="4" refreshedVersion="3" background="1" saveData="1">
    <webPr sourceData="1" parsePre="1" consecutive="1" xl2000="1" url="http://cf.umassadmin.net/finance/crosswalk/GetCFData4PA2.cfm?BU=0&amp;SpeedKey=0"/>
  </connection>
  <connection id="219" name="Connection22" type="4" refreshedVersion="3" background="1" saveData="1">
    <webPr sourceData="1" parsePre="1" consecutive="1" xl2000="1" url="http://cf.umassadmin.net/finance/crosswalk/GetCFData4PA2.cfm?BU=0&amp;SpeedKey=0"/>
  </connection>
  <connection id="220" name="Connection220" type="4" refreshedVersion="3" background="1" saveData="1">
    <webPr sourceData="1" parsePre="1" consecutive="1" xl2000="1" url="http://cf.umassadmin.net/finance/crosswalk/GetCFData4PA2.cfm?BU=0&amp;SpeedKey=0"/>
  </connection>
  <connection id="221" name="Connection221" type="4" refreshedVersion="2" background="1" saveData="1">
    <webPr sourceData="1" parsePre="1" consecutive="1" xl2000="1" url="http://cf.umassadmin.net/finance/crosswalk/GetCFData4PA.cfm?BU=0&amp;AcctCode=0"/>
  </connection>
  <connection id="222" name="Connection222" type="4" refreshedVersion="3" background="1" saveData="1">
    <webPr sourceData="1" parsePre="1" consecutive="1" xl2000="1" url="http://cf.umassadmin.net/finance/crosswalk/GetCFData4PA2.cfm?BU=0&amp;SpeedKey=0"/>
  </connection>
  <connection id="223" name="Connection223" type="4" refreshedVersion="3" background="1" saveData="1">
    <webPr sourceData="1" parsePre="1" consecutive="1" xl2000="1" url="http://cf.umassadmin.net/finance/crosswalk/GetCFData4PA2.cfm?BU=0&amp;SpeedKey=0"/>
  </connection>
  <connection id="224" name="Connection224" type="4" refreshedVersion="2" background="1" saveData="1">
    <webPr sourceData="1" parsePre="1" consecutive="1" xl2000="1" url="http://cf.umassadmin.net/finance/crosswalk/GetCFData4PA.cfm?BU=0&amp;AcctCode=0"/>
  </connection>
  <connection id="225" name="Connection225" type="4" refreshedVersion="2" background="1" saveData="1">
    <webPr sourceData="1" parsePre="1" consecutive="1" xl2000="1" url="http://cf.umassadmin.net/finance/crosswalk/GetCFData4PA.cfm?BU=0&amp;AcctCode=0"/>
  </connection>
  <connection id="226" name="Connection226" type="4" refreshedVersion="2" background="1" saveData="1">
    <webPr sourceData="1" parsePre="1" consecutive="1" xl2000="1" url="http://cf.umassadmin.net/finance/crosswalk/GetCFData4PA.cfm?BU=0&amp;AcctCode=0"/>
  </connection>
  <connection id="227" name="Connection227" type="4" refreshedVersion="2" background="1" saveData="1">
    <webPr sourceData="1" parsePre="1" consecutive="1" xl2000="1" url="http://cf.umassadmin.net/finance/crosswalk/GetCFData4PA.cfm?BU=0&amp;AcctCode=0"/>
  </connection>
  <connection id="228" name="Connection228" type="4" refreshedVersion="3" background="1" saveData="1">
    <webPr sourceData="1" parsePre="1" consecutive="1" xl2000="1" url="http://cf.umassadmin.net/finance/crosswalk/GetCFData4PA2.cfm?BU=0&amp;SpeedKey=0"/>
  </connection>
  <connection id="229" name="Connection229" type="4" refreshedVersion="3" background="1" saveData="1">
    <webPr sourceData="1" parsePre="1" consecutive="1" xl2000="1" url="http://cf.umassadmin.net/finance/crosswalk/GetCFData4PA2.cfm?BU=0&amp;SpeedKey=0"/>
  </connection>
  <connection id="230" name="Connection23" type="4" refreshedVersion="2" background="1" saveData="1">
    <webPr sourceData="1" parsePre="1" consecutive="1" xl2000="1" url="http://cf.umassadmin.net/finance/crosswalk/GetCFData4PA.cfm?BU=0&amp;AcctCode=0"/>
  </connection>
  <connection id="231" name="Connection230" type="4" refreshedVersion="2" background="1" saveData="1">
    <webPr sourceData="1" parsePre="1" consecutive="1" xl2000="1" url="http://cf.umassadmin.net/finance/crosswalk/GetCFData4PA.cfm?BU=0&amp;AcctCode=0"/>
  </connection>
  <connection id="232" name="Connection231" type="4" refreshedVersion="3" background="1" saveData="1">
    <webPr sourceData="1" parsePre="1" consecutive="1" xl2000="1" url="http://cf.umassadmin.net/finance/crosswalk/GetCFData4PA2.cfm?BU=0&amp;SpeedKey=0"/>
  </connection>
  <connection id="233" name="Connection232" type="4" refreshedVersion="3" background="1" saveData="1">
    <webPr sourceData="1" parsePre="1" consecutive="1" xl2000="1" url="http://cf.umassadmin.net/finance/crosswalk/GetCFData4PA2.cfm?BU=0&amp;SpeedKey=0"/>
  </connection>
  <connection id="234" name="Connection233" type="4" refreshedVersion="2" background="1" saveData="1">
    <webPr sourceData="1" parsePre="1" consecutive="1" xl2000="1" url="http://cf.umassadmin.net/finance/crosswalk/GetCFData4PA.cfm?BU=0&amp;AcctCode=0"/>
  </connection>
  <connection id="235" name="Connection234" type="4" refreshedVersion="2" background="1" saveData="1">
    <webPr sourceData="1" parsePre="1" consecutive="1" xl2000="1" url="http://cf.umassadmin.net/finance/crosswalk/GetCFData4PA.cfm?BU=0&amp;AcctCode=0"/>
  </connection>
  <connection id="236" name="Connection235" type="4" refreshedVersion="3" background="1" saveData="1">
    <webPr sourceData="1" parsePre="1" consecutive="1" xl2000="1" url="http://cf.umassadmin.net/finance/crosswalk/GetCFData4PA2.cfm?BU=0&amp;SpeedKey=0"/>
  </connection>
  <connection id="237" name="Connection236" type="4" refreshedVersion="2" background="1" saveData="1">
    <webPr sourceData="1" parsePre="1" consecutive="1" xl2000="1" url="http://cf.umassadmin.net/finance/crosswalk/GetCFData4PA.cfm?BU=0&amp;AcctCode=0"/>
  </connection>
  <connection id="238" name="Connection237" type="4" refreshedVersion="2" background="1" saveData="1">
    <webPr sourceData="1" parsePre="1" consecutive="1" xl2000="1" url="http://cf.umassadmin.net/finance/crosswalk/GetCFData4PA.cfm?BU=0&amp;AcctCode=0"/>
  </connection>
  <connection id="239" name="Connection238" type="4" refreshedVersion="2" background="1" saveData="1">
    <webPr sourceData="1" parsePre="1" consecutive="1" xl2000="1" url="http://cf.umassadmin.net/finance/crosswalk/GetCFData4PA.cfm?BU=0&amp;AcctCode=0"/>
  </connection>
  <connection id="240" name="Connection239" type="4" refreshedVersion="3" background="1" saveData="1">
    <webPr sourceData="1" parsePre="1" consecutive="1" xl2000="1" url="http://cf.umassadmin.net/finance/crosswalk/GetCFData4PA2.cfm?BU=0&amp;SpeedKey=0"/>
  </connection>
  <connection id="241" name="Connection24" type="4" refreshedVersion="2" background="1" saveData="1">
    <webPr sourceData="1" parsePre="1" consecutive="1" xl2000="1" url="http://cf.umassadmin.net/finance/crosswalk/GetCFData4PA.cfm?BU=0&amp;AcctCode=0"/>
  </connection>
  <connection id="242" name="Connection240" type="4" refreshedVersion="2" background="1" saveData="1">
    <webPr sourceData="1" parsePre="1" consecutive="1" xl2000="1" url="http://cf.umassadmin.net/finance/crosswalk/GetCFData4PA.cfm?BU=0&amp;AcctCode=0"/>
  </connection>
  <connection id="243" name="Connection241" type="4" refreshedVersion="2" background="1" saveData="1">
    <webPr sourceData="1" parsePre="1" consecutive="1" xl2000="1" url="http://cf.umassadmin.net/finance/crosswalk/GetCFData4PA.cfm?BU=0&amp;AcctCode=0"/>
  </connection>
  <connection id="244" name="Connection242" type="4" refreshedVersion="3" background="1" saveData="1">
    <webPr sourceData="1" parsePre="1" consecutive="1" xl2000="1" url="http://cf.umassadmin.net/finance/crosswalk/GetCFData4PA2.cfm?BU=0&amp;SpeedKey=0"/>
  </connection>
  <connection id="245" name="Connection243" type="4" refreshedVersion="2" background="1" saveData="1">
    <webPr sourceData="1" parsePre="1" consecutive="1" xl2000="1" url="http://cf.umassadmin.net/finance/crosswalk/GetCFData4PA.cfm?BU=0&amp;AcctCode=0"/>
  </connection>
  <connection id="246" name="Connection244" type="4" refreshedVersion="3" background="1" saveData="1">
    <webPr sourceData="1" parsePre="1" consecutive="1" xl2000="1" url="http://cf.umassadmin.net/finance/crosswalk/GetCFData4PA2.cfm?BU=0&amp;SpeedKey=0"/>
  </connection>
  <connection id="247" name="Connection245" type="4" refreshedVersion="3" background="1" saveData="1">
    <webPr sourceData="1" parsePre="1" consecutive="1" xl2000="1" url="http://cf.umassadmin.net/finance/crosswalk/GetCFData4PA2.cfm?BU=0&amp;SpeedKey=0"/>
  </connection>
  <connection id="248" name="Connection246" type="4" refreshedVersion="3" background="1" saveData="1">
    <webPr sourceData="1" parsePre="1" consecutive="1" xl2000="1" url="http://cf.umassadmin.net/finance/crosswalk/GetCFData4PA2.cfm?BU=0&amp;SpeedKey=0"/>
  </connection>
  <connection id="249" name="Connection247" type="4" refreshedVersion="2" background="1" saveData="1">
    <webPr sourceData="1" parsePre="1" consecutive="1" xl2000="1" url="http://cf.umassadmin.net/finance/crosswalk/GetCFData4PA.cfm?BU=0&amp;AcctCode=0"/>
  </connection>
  <connection id="250" name="Connection248" type="4" refreshedVersion="2" background="1" saveData="1">
    <webPr sourceData="1" parsePre="1" consecutive="1" xl2000="1" url="http://cf.umassadmin.net/finance/crosswalk/GetCFData4PA.cfm?BU=0&amp;AcctCode=0"/>
  </connection>
  <connection id="251" name="Connection249" type="4" refreshedVersion="2" background="1" saveData="1">
    <webPr sourceData="1" parsePre="1" consecutive="1" xl2000="1" url="http://cf.umassadmin.net/finance/crosswalk/GetCFData4PA.cfm?BU=0&amp;AcctCode=0"/>
  </connection>
  <connection id="252" name="Connection25" type="4" refreshedVersion="3" background="1" saveData="1">
    <webPr sourceData="1" parsePre="1" consecutive="1" xl2000="1" url="http://cf.umassadmin.net/finance/crosswalk/GetCFData4PA2.cfm?BU=0&amp;SpeedKey=0"/>
  </connection>
  <connection id="253" name="Connection250" type="4" refreshedVersion="3" background="1" saveData="1">
    <webPr sourceData="1" parsePre="1" consecutive="1" xl2000="1" url="http://cf.umassadmin.net/finance/crosswalk/GetCFData4PA2.cfm?BU=0&amp;SpeedKey=0"/>
  </connection>
  <connection id="254" name="Connection251" type="4" refreshedVersion="2" background="1" saveData="1">
    <webPr sourceData="1" parsePre="1" consecutive="1" xl2000="1" url="http://cf.umassadmin.net/finance/crosswalk/GetCFData4PA.cfm?BU=0&amp;AcctCode=0"/>
  </connection>
  <connection id="255" name="Connection252" type="4" refreshedVersion="2" background="1" saveData="1">
    <webPr sourceData="1" parsePre="1" consecutive="1" xl2000="1" url="http://cf.umassadmin.net/finance/crosswalk/GetCFData4PA.cfm?BU=0&amp;AcctCode=0"/>
  </connection>
  <connection id="256" name="Connection253" type="4" refreshedVersion="3" background="1" saveData="1">
    <webPr sourceData="1" parsePre="1" consecutive="1" xl2000="1" url="http://cf.umassadmin.net/finance/crosswalk/GetCFData4PA2.cfm?BU=0&amp;SpeedKey=0"/>
  </connection>
  <connection id="257" name="Connection254" type="4" refreshedVersion="2" background="1" saveData="1">
    <webPr sourceData="1" parsePre="1" consecutive="1" xl2000="1" url="http://cf.umassadmin.net/finance/crosswalk/GetCFData4PA.cfm?BU=0&amp;AcctCode=0"/>
  </connection>
  <connection id="258" name="Connection255" type="4" refreshedVersion="2" background="1" saveData="1">
    <webPr sourceData="1" parsePre="1" consecutive="1" xl2000="1" url="http://cf.umassadmin.net/finance/crosswalk/GetCFData4PA.cfm?BU=0&amp;AcctCode=0"/>
  </connection>
  <connection id="259" name="Connection256" type="4" refreshedVersion="2" background="1" saveData="1">
    <webPr sourceData="1" parsePre="1" consecutive="1" xl2000="1" url="http://cf.umassadmin.net/finance/crosswalk/GetCFData4PA.cfm?BU=0&amp;AcctCode=0"/>
  </connection>
  <connection id="260" name="Connection257" type="4" refreshedVersion="2" background="1" saveData="1">
    <webPr sourceData="1" parsePre="1" consecutive="1" xl2000="1" url="http://cf.umassadmin.net/finance/crosswalk/GetCFData4PA.cfm?BU=0&amp;AcctCode=0"/>
  </connection>
  <connection id="261" name="Connection258" type="4" refreshedVersion="2" background="1" saveData="1">
    <webPr sourceData="1" parsePre="1" consecutive="1" xl2000="1" url="http://cf.umassadmin.net/finance/crosswalk/GetCFData4PA.cfm?BU=0&amp;AcctCode=0"/>
  </connection>
  <connection id="262" name="Connection259" type="4" refreshedVersion="2" background="1" saveData="1">
    <webPr sourceData="1" parsePre="1" consecutive="1" xl2000="1" url="http://cf.umassadmin.net/finance/crosswalk/GetCFData4PA.cfm?BU=0&amp;AcctCode=0"/>
  </connection>
  <connection id="263" name="Connection26" type="4" refreshedVersion="2" background="1" saveData="1">
    <webPr sourceData="1" parsePre="1" consecutive="1" xl2000="1" url="http://cf.umassadmin.net/finance/crosswalk/GetCFData4PA.cfm?BU=0&amp;AcctCode=0"/>
  </connection>
  <connection id="264" name="Connection260" type="4" refreshedVersion="2" background="1" saveData="1">
    <webPr sourceData="1" parsePre="1" consecutive="1" xl2000="1" url="http://cf.umassadmin.net/finance/crosswalk/GetCFData4PA.cfm?BU=0&amp;AcctCode=0"/>
  </connection>
  <connection id="265" name="Connection261" type="4" refreshedVersion="3" background="1" saveData="1">
    <webPr sourceData="1" parsePre="1" consecutive="1" xl2000="1" url="http://cf.umassadmin.net/finance/crosswalk/GetCFData4PA2.cfm?BU=0&amp;SpeedKey=0"/>
  </connection>
  <connection id="266" name="Connection262" type="4" refreshedVersion="3" background="1" saveData="1">
    <webPr sourceData="1" parsePre="1" consecutive="1" xl2000="1" url="http://cf.umassadmin.net/finance/crosswalk/GetCFData4PA2.cfm?BU=0&amp;SpeedKey=0"/>
  </connection>
  <connection id="267" name="Connection263" type="4" refreshedVersion="3" background="1" saveData="1">
    <webPr sourceData="1" parsePre="1" consecutive="1" xl2000="1" url="http://cf.umassadmin.net/finance/crosswalk/GetCFData4PA2.cfm?BU=0&amp;SpeedKey=0"/>
  </connection>
  <connection id="268" name="Connection264" type="4" refreshedVersion="3" background="1" saveData="1">
    <webPr sourceData="1" parsePre="1" consecutive="1" xl2000="1" url="http://cf.umassadmin.net/finance/crosswalk/GetCFData4PA2.cfm?BU=0&amp;SpeedKey=0"/>
  </connection>
  <connection id="269" name="Connection265" type="4" refreshedVersion="3" background="1" saveData="1">
    <webPr sourceData="1" parsePre="1" consecutive="1" xl2000="1" url="http://cf.umassadmin.net/finance/crosswalk/GetCFData4PA2.cfm?BU=0&amp;SpeedKey=0"/>
  </connection>
  <connection id="270" name="Connection266" type="4" refreshedVersion="3" background="1" saveData="1">
    <webPr sourceData="1" parsePre="1" consecutive="1" xl2000="1" url="http://cf.umassadmin.net/finance/crosswalk/GetCFData4PA2.cfm?BU=0&amp;SpeedKey=0"/>
  </connection>
  <connection id="271" name="Connection267" type="4" refreshedVersion="2" background="1" saveData="1">
    <webPr sourceData="1" parsePre="1" consecutive="1" xl2000="1" url="http://cf.umassadmin.net/finance/crosswalk/GetCFData4PA.cfm?BU=0&amp;AcctCode=0"/>
  </connection>
  <connection id="272" name="Connection268" type="4" refreshedVersion="2" background="1" saveData="1">
    <webPr sourceData="1" parsePre="1" consecutive="1" xl2000="1" url="http://cf.umassadmin.net/finance/crosswalk/GetCFData4PA.cfm?BU=0&amp;AcctCode=0"/>
  </connection>
  <connection id="273" name="Connection269" type="4" refreshedVersion="2" background="1" saveData="1">
    <webPr sourceData="1" parsePre="1" consecutive="1" xl2000="1" url="http://cf.umassadmin.net/finance/crosswalk/GetCFData4PA.cfm?BU=0&amp;AcctCode=0"/>
  </connection>
  <connection id="274" name="Connection27" type="4" refreshedVersion="3" background="1" saveData="1">
    <webPr sourceData="1" parsePre="1" consecutive="1" xl2000="1" url="http://cf.umassadmin.net/finance/crosswalk/GetCFData4PA2.cfm?BU=0&amp;SpeedKey=0"/>
  </connection>
  <connection id="275" name="Connection270" type="4" refreshedVersion="2" background="1" saveData="1">
    <webPr sourceData="1" parsePre="1" consecutive="1" xl2000="1" url="http://cf.umassadmin.net/finance/crosswalk/GetCFData4PA.cfm?BU=0&amp;AcctCode=0"/>
  </connection>
  <connection id="276" name="Connection271" type="4" refreshedVersion="3" background="1" saveData="1">
    <webPr sourceData="1" parsePre="1" consecutive="1" xl2000="1" url="http://cf.umassadmin.net/finance/crosswalk/GetCFData4PA2.cfm?BU=0&amp;SpeedKey=0"/>
  </connection>
  <connection id="277" name="Connection272" type="4" refreshedVersion="3" background="1" saveData="1">
    <webPr sourceData="1" parsePre="1" consecutive="1" xl2000="1" url="http://cf.umassadmin.net/finance/crosswalk/GetCFData4PA2.cfm?BU=0&amp;SpeedKey=0"/>
  </connection>
  <connection id="278" name="Connection273" type="4" refreshedVersion="2" background="1" saveData="1">
    <webPr sourceData="1" parsePre="1" consecutive="1" xl2000="1" url="http://cf.umassadmin.net/finance/crosswalk/GetCFData4PA.cfm?BU=0&amp;AcctCode=0"/>
  </connection>
  <connection id="279" name="Connection274" type="4" refreshedVersion="2" background="1" saveData="1">
    <webPr sourceData="1" parsePre="1" consecutive="1" xl2000="1" url="http://cf.umassadmin.net/finance/crosswalk/GetCFData4PA.cfm?BU=0&amp;AcctCode=0"/>
  </connection>
  <connection id="280" name="Connection275" type="4" refreshedVersion="3" background="1" saveData="1">
    <webPr sourceData="1" parsePre="1" consecutive="1" xl2000="1" url="http://cf.umassadmin.net/finance/crosswalk/GetCFData4PA2.cfm?BU=0&amp;SpeedKey=0"/>
  </connection>
  <connection id="281" name="Connection276" type="4" refreshedVersion="3" background="1" saveData="1">
    <webPr sourceData="1" parsePre="1" consecutive="1" xl2000="1" url="http://cf.umassadmin.net/finance/crosswalk/GetCFData4PA2.cfm?BU=0&amp;SpeedKey=0"/>
  </connection>
  <connection id="282" name="Connection277" type="4" refreshedVersion="2" background="1" saveData="1">
    <webPr sourceData="1" parsePre="1" consecutive="1" xl2000="1" url="http://cf.umassadmin.net/finance/crosswalk/GetCFData4PA.cfm?BU=0&amp;AcctCode=0"/>
  </connection>
  <connection id="283" name="Connection278" type="4" refreshedVersion="3" background="1" saveData="1">
    <webPr sourceData="1" parsePre="1" consecutive="1" xl2000="1" url="http://cf.umassadmin.net/finance/crosswalk/GetCFData4PA2.cfm?BU=0&amp;SpeedKey=0"/>
  </connection>
  <connection id="284" name="Connection279" type="4" refreshedVersion="2" background="1" saveData="1">
    <webPr sourceData="1" parsePre="1" consecutive="1" xl2000="1" url="http://cf.umassadmin.net/finance/crosswalk/GetCFData4PA.cfm?BU=0&amp;AcctCode=0"/>
  </connection>
  <connection id="285" name="Connection28" type="4" refreshedVersion="2" background="1" saveData="1">
    <webPr sourceData="1" parsePre="1" consecutive="1" xl2000="1" url="http://cf.umassadmin.net/finance/crosswalk/GetCFData4PA.cfm?BU=0&amp;AcctCode=0"/>
  </connection>
  <connection id="286" name="Connection280" type="4" refreshedVersion="3" background="1" saveData="1">
    <webPr sourceData="1" parsePre="1" consecutive="1" xl2000="1" url="http://cf.umassadmin.net/finance/crosswalk/GetCFData4PA2.cfm?BU=0&amp;SpeedKey=0"/>
  </connection>
  <connection id="287" name="Connection281" type="4" refreshedVersion="2" background="1" saveData="1">
    <webPr sourceData="1" parsePre="1" consecutive="1" xl2000="1" url="http://cf.umassadmin.net/finance/crosswalk/GetCFData4PA.cfm?BU=0&amp;AcctCode=0"/>
  </connection>
  <connection id="288" name="Connection282" type="4" refreshedVersion="3" background="1" saveData="1">
    <webPr sourceData="1" parsePre="1" consecutive="1" xl2000="1" url="http://cf.umassadmin.net/finance/crosswalk/GetCFData4PA2.cfm?BU=0&amp;SpeedKey=0"/>
  </connection>
  <connection id="289" name="Connection283" type="4" refreshedVersion="2" background="1" saveData="1">
    <webPr sourceData="1" parsePre="1" consecutive="1" xl2000="1" url="http://cf.umassadmin.net/finance/crosswalk/GetCFData4PA.cfm?BU=0&amp;AcctCode=0"/>
  </connection>
  <connection id="290" name="Connection284" type="4" refreshedVersion="2" background="1" saveData="1">
    <webPr sourceData="1" parsePre="1" consecutive="1" xl2000="1" url="http://cf.umassadmin.net/finance/crosswalk/GetCFData4PA.cfm?BU=0&amp;AcctCode=0"/>
  </connection>
  <connection id="291" name="Connection285" type="4" refreshedVersion="3" background="1" saveData="1">
    <webPr sourceData="1" parsePre="1" consecutive="1" xl2000="1" url="http://cf.umassadmin.net/finance/crosswalk/GetCFData4PA2.cfm?BU=0&amp;SpeedKey=0"/>
  </connection>
  <connection id="292" name="Connection286" type="4" refreshedVersion="3" background="1" saveData="1">
    <webPr sourceData="1" parsePre="1" consecutive="1" xl2000="1" url="http://cf.umassadmin.net/finance/crosswalk/GetCFData4PA2.cfm?BU=0&amp;SpeedKey=0"/>
  </connection>
  <connection id="293" name="Connection287" type="4" refreshedVersion="3" background="1" saveData="1">
    <webPr sourceData="1" parsePre="1" consecutive="1" xl2000="1" url="http://cf.umassadmin.net/finance/crosswalk/GetCFData4PA2.cfm?BU=0&amp;SpeedKey=0"/>
  </connection>
  <connection id="294" name="Connection288" type="4" refreshedVersion="2" background="1" saveData="1">
    <webPr sourceData="1" parsePre="1" consecutive="1" xl2000="1" url="http://cf.umassadmin.net/finance/crosswalk/GetCFData4PA.cfm?BU=0&amp;AcctCode=0"/>
  </connection>
  <connection id="295" name="Connection289" type="4" refreshedVersion="2" background="1" saveData="1">
    <webPr sourceData="1" parsePre="1" consecutive="1" xl2000="1" url="http://cf.umassadmin.net/finance/crosswalk/GetCFData4PA.cfm?BU=0&amp;AcctCode=0"/>
  </connection>
  <connection id="296" name="Connection29" type="4" refreshedVersion="3" background="1" saveData="1">
    <webPr sourceData="1" parsePre="1" consecutive="1" xl2000="1" url="http://cf.umassadmin.net/finance/crosswalk/GetCFData4PA2.cfm?BU=0&amp;SpeedKey=0"/>
  </connection>
  <connection id="297" name="Connection290" type="4" refreshedVersion="3" background="1" saveData="1">
    <webPr sourceData="1" parsePre="1" consecutive="1" xl2000="1" url="http://cf.umassadmin.net/finance/crosswalk/GetCFData4PA2.cfm?BU=0&amp;SpeedKey=0"/>
  </connection>
  <connection id="298" name="Connection291" type="4" refreshedVersion="3" background="1" saveData="1">
    <webPr sourceData="1" parsePre="1" consecutive="1" xl2000="1" url="http://cf.umassadmin.net/finance/crosswalk/GetCFData4PA2.cfm?BU=0&amp;SpeedKey=0"/>
  </connection>
  <connection id="299" name="Connection292" type="4" refreshedVersion="2" background="1" saveData="1">
    <webPr sourceData="1" parsePre="1" consecutive="1" xl2000="1" url="http://cf.umassadmin.net/finance/crosswalk/GetCFData4PA.cfm?BU=0&amp;AcctCode=0"/>
  </connection>
  <connection id="300" name="Connection293" type="4" refreshedVersion="2" background="1" saveData="1">
    <webPr sourceData="1" parsePre="1" consecutive="1" xl2000="1" url="http://cf.umassadmin.net/finance/crosswalk/GetCFData4PA.cfm?BU=0&amp;AcctCode=0"/>
  </connection>
  <connection id="301" name="Connection294" type="4" refreshedVersion="3" background="1" saveData="1">
    <webPr sourceData="1" parsePre="1" consecutive="1" xl2000="1" url="http://cf.umassadmin.net/finance/crosswalk/GetCFData4PA2.cfm?BU=0&amp;SpeedKey=0"/>
  </connection>
  <connection id="302" name="Connection295" type="4" refreshedVersion="3" background="1" saveData="1">
    <webPr sourceData="1" parsePre="1" consecutive="1" xl2000="1" url="http://cf.umassadmin.net/finance/crosswalk/GetCFData4PA2.cfm?BU=0&amp;SpeedKey=0"/>
  </connection>
  <connection id="303" name="Connection296" type="4" refreshedVersion="3" background="1" saveData="1">
    <webPr sourceData="1" parsePre="1" consecutive="1" xl2000="1" url="http://cf.umassadmin.net/finance/crosswalk/GetCFData4PA2.cfm?BU=0&amp;SpeedKey=0"/>
  </connection>
  <connection id="304" name="Connection297" type="4" refreshedVersion="2" background="1" saveData="1">
    <webPr sourceData="1" parsePre="1" consecutive="1" xl2000="1" url="http://cf.umassadmin.net/finance/crosswalk/GetCFData4PA.cfm?BU=0&amp;AcctCode=0"/>
  </connection>
  <connection id="305" name="Connection298" type="4" refreshedVersion="2" background="1" saveData="1">
    <webPr sourceData="1" parsePre="1" consecutive="1" xl2000="1" url="http://cf.umassadmin.net/finance/crosswalk/GetCFData4PA.cfm?BU=0&amp;AcctCode=0"/>
  </connection>
  <connection id="306" name="Connection299" type="4" refreshedVersion="2" background="1" saveData="1">
    <webPr sourceData="1" parsePre="1" consecutive="1" xl2000="1" url="http://cf.umassadmin.net/finance/crosswalk/GetCFData4PA.cfm?BU=0&amp;AcctCode=0"/>
  </connection>
  <connection id="307" name="Connection3" type="4" refreshedVersion="2" background="1" saveData="1">
    <webPr sourceData="1" parsePre="1" consecutive="1" xl2000="1" url="http://cf.umassadmin.net/finance/crosswalk/GetCFData4PA.cfm?BU=0&amp;AcctCode=0"/>
  </connection>
  <connection id="308" name="Connection30" type="4" refreshedVersion="2" background="1" saveData="1">
    <webPr sourceData="1" parsePre="1" consecutive="1" xl2000="1" url="http://cf.umassadmin.net/finance/crosswalk/GetCFData4PA.cfm?BU=0&amp;AcctCode=0"/>
  </connection>
  <connection id="309" name="Connection300" type="4" refreshedVersion="3" background="1" saveData="1">
    <webPr sourceData="1" parsePre="1" consecutive="1" xl2000="1" url="http://cf.umassadmin.net/finance/crosswalk/GetCFData4PA2.cfm?BU=0&amp;SpeedKey=0"/>
  </connection>
  <connection id="310" name="Connection301" type="4" refreshedVersion="2" background="1" saveData="1">
    <webPr sourceData="1" parsePre="1" consecutive="1" xl2000="1" url="http://cf.umassadmin.net/finance/crosswalk/GetCFData4PA.cfm?BU=0&amp;AcctCode=0"/>
  </connection>
  <connection id="311" name="Connection302" type="4" refreshedVersion="3" background="1" saveData="1">
    <webPr sourceData="1" parsePre="1" consecutive="1" xl2000="1" url="http://cf.umassadmin.net/finance/crosswalk/GetCFData4PA2.cfm?BU=0&amp;SpeedKey=0"/>
  </connection>
  <connection id="312" name="Connection303" type="4" refreshedVersion="2" background="1" saveData="1">
    <webPr sourceData="1" parsePre="1" consecutive="1" xl2000="1" url="http://cf.umassadmin.net/finance/crosswalk/GetCFData4PA.cfm?BU=0&amp;AcctCode=0"/>
  </connection>
  <connection id="313" name="Connection304" type="4" refreshedVersion="3" background="1" saveData="1">
    <webPr sourceData="1" parsePre="1" consecutive="1" xl2000="1" url="http://cf.umassadmin.net/finance/crosswalk/GetCFData4PA2.cfm?BU=0&amp;SpeedKey=0"/>
  </connection>
  <connection id="314" name="Connection305" type="4" refreshedVersion="2" background="1" saveData="1">
    <webPr sourceData="1" parsePre="1" consecutive="1" xl2000="1" url="http://cf.umassadmin.net/finance/crosswalk/GetCFData4PA.cfm?BU=0&amp;AcctCode=0"/>
  </connection>
  <connection id="315" name="Connection306" type="4" refreshedVersion="3" background="1" saveData="1">
    <webPr sourceData="1" parsePre="1" consecutive="1" xl2000="1" url="http://cf.umassadmin.net/finance/crosswalk/GetCFData4PA2.cfm?BU=0&amp;SpeedKey=0"/>
  </connection>
  <connection id="316" name="Connection307" type="4" refreshedVersion="2" background="1" saveData="1">
    <webPr sourceData="1" parsePre="1" consecutive="1" xl2000="1" url="http://cf.umassadmin.net/finance/crosswalk/GetCFData4PA.cfm?BU=0&amp;AcctCode=0"/>
  </connection>
  <connection id="317" name="Connection308" type="4" refreshedVersion="3" background="1" saveData="1">
    <webPr sourceData="1" parsePre="1" consecutive="1" xl2000="1" url="http://cf.umassadmin.net/finance/crosswalk/GetCFData4PA2.cfm?BU=0&amp;SpeedKey=0"/>
  </connection>
  <connection id="318" name="Connection309" type="4" refreshedVersion="3" background="1" saveData="1">
    <webPr sourceData="1" parsePre="1" consecutive="1" xl2000="1" url="http://cf.umassadmin.net/finance/crosswalk/GetCFData4PA2.cfm?BU=0&amp;SpeedKey=0"/>
  </connection>
  <connection id="319" name="Connection31" type="4" refreshedVersion="3" background="1" saveData="1">
    <webPr sourceData="1" parsePre="1" consecutive="1" xl2000="1" url="http://cf.umassadmin.net/finance/crosswalk/GetCFData4PA2.cfm?BU=0&amp;SpeedKey=0"/>
  </connection>
  <connection id="320" name="Connection310" type="4" refreshedVersion="2" background="1" saveData="1">
    <webPr sourceData="1" parsePre="1" consecutive="1" xl2000="1" url="http://cf.umassadmin.net/finance/crosswalk/GetCFData4PA.cfm?BU=0&amp;AcctCode=0"/>
  </connection>
  <connection id="321" name="Connection311" type="4" refreshedVersion="2" background="1" saveData="1">
    <webPr sourceData="1" parsePre="1" consecutive="1" xl2000="1" url="http://cf.umassadmin.net/finance/crosswalk/GetCFData4PA.cfm?BU=0&amp;AcctCode=0"/>
  </connection>
  <connection id="322" name="Connection312" type="4" refreshedVersion="3" background="1" saveData="1">
    <webPr sourceData="1" parsePre="1" consecutive="1" xl2000="1" url="http://cf.umassadmin.net/finance/crosswalk/GetCFData4PA2.cfm?BU=0&amp;SpeedKey=0"/>
  </connection>
  <connection id="323" name="Connection313" type="4" refreshedVersion="3" background="1" saveData="1">
    <webPr sourceData="1" parsePre="1" consecutive="1" xl2000="1" url="http://cf.umassadmin.net/finance/crosswalk/GetCFData4PA2.cfm?BU=0&amp;SpeedKey=0"/>
  </connection>
  <connection id="324" name="Connection314" type="4" refreshedVersion="2" background="1" saveData="1">
    <webPr sourceData="1" parsePre="1" consecutive="1" xl2000="1" url="http://cf.umassadmin.net/finance/crosswalk/GetCFData4PA.cfm?BU=0&amp;AcctCode=0"/>
  </connection>
  <connection id="325" name="Connection315" type="4" refreshedVersion="3" background="1" saveData="1">
    <webPr sourceData="1" parsePre="1" consecutive="1" xl2000="1" url="http://cf.umassadmin.net/finance/crosswalk/GetCFData4PA2.cfm?BU=0&amp;SpeedKey=0"/>
  </connection>
  <connection id="326" name="Connection316" type="4" refreshedVersion="2" background="1" saveData="1">
    <webPr sourceData="1" parsePre="1" consecutive="1" xl2000="1" url="http://cf.umassadmin.net/finance/crosswalk/GetCFData4PA.cfm?BU=0&amp;AcctCode=0"/>
  </connection>
  <connection id="327" name="Connection317" type="4" refreshedVersion="2" background="1" saveData="1">
    <webPr sourceData="1" parsePre="1" consecutive="1" xl2000="1" url="http://cf.umassadmin.net/finance/crosswalk/GetCFData4PA.cfm?BU=0&amp;AcctCode=0"/>
  </connection>
  <connection id="328" name="Connection318" type="4" refreshedVersion="2" background="1" saveData="1">
    <webPr sourceData="1" parsePre="1" consecutive="1" xl2000="1" url="http://cf.umassadmin.net/finance/crosswalk/GetCFData4PA.cfm?BU=0&amp;AcctCode=0"/>
  </connection>
  <connection id="329" name="Connection319" type="4" refreshedVersion="3" background="1" saveData="1">
    <webPr sourceData="1" parsePre="1" consecutive="1" xl2000="1" url="http://cf.umassadmin.net/finance/crosswalk/GetCFData4PA2.cfm?BU=0&amp;SpeedKey=0"/>
  </connection>
  <connection id="330" name="Connection32" type="4" refreshedVersion="2" background="1" saveData="1">
    <webPr sourceData="1" parsePre="1" consecutive="1" xl2000="1" url="http://cf.umassadmin.net/finance/crosswalk/GetCFData4PA.cfm?BU=0&amp;AcctCode=0"/>
  </connection>
  <connection id="331" name="Connection320" type="4" refreshedVersion="2" background="1" saveData="1">
    <webPr sourceData="1" parsePre="1" consecutive="1" xl2000="1" url="http://cf.umassadmin.net/finance/crosswalk/GetCFData4PA.cfm?BU=0&amp;AcctCode=0"/>
  </connection>
  <connection id="332" name="Connection321" type="4" refreshedVersion="3" background="1" saveData="1">
    <webPr sourceData="1" parsePre="1" consecutive="1" xl2000="1" url="http://cf.umassadmin.net/finance/crosswalk/GetCFData4PA2.cfm?BU=0&amp;SpeedKey=0"/>
  </connection>
  <connection id="333" name="Connection322" type="4" refreshedVersion="2" background="1" saveData="1">
    <webPr sourceData="1" parsePre="1" consecutive="1" xl2000="1" url="http://cf.umassadmin.net/finance/crosswalk/GetCFData4PA.cfm?BU=0&amp;AcctCode=0"/>
  </connection>
  <connection id="334" name="Connection323" type="4" refreshedVersion="3" background="1" saveData="1">
    <webPr sourceData="1" parsePre="1" consecutive="1" xl2000="1" url="http://cf.umassadmin.net/finance/crosswalk/GetCFData4PA2.cfm?BU=0&amp;SpeedKey=0"/>
  </connection>
  <connection id="335" name="Connection324" type="4" refreshedVersion="3" background="1" saveData="1">
    <webPr sourceData="1" parsePre="1" consecutive="1" xl2000="1" url="http://cf.umassadmin.net/finance/crosswalk/GetCFData4PA2.cfm?BU=0&amp;SpeedKey=0"/>
  </connection>
  <connection id="336" name="Connection325" type="4" refreshedVersion="2" background="1" saveData="1">
    <webPr sourceData="1" parsePre="1" consecutive="1" xl2000="1" url="http://cf.umassadmin.net/finance/crosswalk/GetCFData4PA.cfm?BU=0&amp;AcctCode=0"/>
  </connection>
  <connection id="337" name="Connection326" type="4" refreshedVersion="2" background="1" saveData="1">
    <webPr sourceData="1" parsePre="1" consecutive="1" xl2000="1" url="http://cf.umassadmin.net/finance/crosswalk/GetCFData4PA.cfm?BU=0&amp;AcctCode=0"/>
  </connection>
  <connection id="338" name="Connection327" type="4" refreshedVersion="2" background="1" saveData="1">
    <webPr sourceData="1" parsePre="1" consecutive="1" xl2000="1" url="http://cf.umassadmin.net/finance/crosswalk/GetCFData4PA.cfm?BU=0&amp;AcctCode=0"/>
  </connection>
  <connection id="339" name="Connection328" type="4" refreshedVersion="3" background="1" saveData="1">
    <webPr sourceData="1" parsePre="1" consecutive="1" xl2000="1" url="http://cf.umassadmin.net/finance/crosswalk/GetCFData4PA2.cfm?BU=0&amp;SpeedKey=0"/>
  </connection>
  <connection id="340" name="Connection329" type="4" refreshedVersion="3" background="1" saveData="1">
    <webPr sourceData="1" parsePre="1" consecutive="1" xl2000="1" url="http://cf.umassadmin.net/finance/crosswalk/GetCFData4PA2.cfm?BU=0&amp;SpeedKey=0"/>
  </connection>
  <connection id="341" name="Connection33" type="4" refreshedVersion="3" background="1" saveData="1">
    <webPr sourceData="1" parsePre="1" consecutive="1" xl2000="1" url="http://cf.umassadmin.net/finance/crosswalk/GetCFData4PA2.cfm?BU=0&amp;SpeedKey=0"/>
  </connection>
  <connection id="342" name="Connection330" type="4" refreshedVersion="2" background="1" saveData="1">
    <webPr sourceData="1" parsePre="1" consecutive="1" xl2000="1" url="http://cf.umassadmin.net/finance/crosswalk/GetCFData4PA.cfm?BU=0&amp;AcctCode=0"/>
  </connection>
  <connection id="343" name="Connection331" type="4" refreshedVersion="3" background="1" saveData="1">
    <webPr sourceData="1" parsePre="1" consecutive="1" xl2000="1" url="http://cf.umassadmin.net/finance/crosswalk/GetCFData4PA2.cfm?BU=0&amp;SpeedKey=0"/>
  </connection>
  <connection id="344" name="Connection332" type="4" refreshedVersion="2" background="1" saveData="1">
    <webPr sourceData="1" parsePre="1" consecutive="1" xl2000="1" url="http://cf.umassadmin.net/finance/crosswalk/GetCFData4PA.cfm?BU=0&amp;AcctCode=0"/>
  </connection>
  <connection id="345" name="Connection333" type="4" refreshedVersion="3" background="1" saveData="1">
    <webPr sourceData="1" parsePre="1" consecutive="1" xl2000="1" url="http://cf.umassadmin.net/finance/crosswalk/GetCFData4PA2.cfm?BU=0&amp;SpeedKey=0"/>
  </connection>
  <connection id="346" name="Connection334" type="4" refreshedVersion="2" background="1" saveData="1">
    <webPr sourceData="1" parsePre="1" consecutive="1" xl2000="1" url="http://cf.umassadmin.net/finance/crosswalk/GetCFData4PA.cfm?BU=0&amp;AcctCode=0"/>
  </connection>
  <connection id="347" name="Connection335" type="4" refreshedVersion="3" background="1" saveData="1">
    <webPr sourceData="1" parsePre="1" consecutive="1" xl2000="1" url="http://cf.umassadmin.net/finance/crosswalk/GetCFData4PA2.cfm?BU=0&amp;SpeedKey=0"/>
  </connection>
  <connection id="348" name="Connection336" type="4" refreshedVersion="2" background="1" saveData="1">
    <webPr sourceData="1" parsePre="1" consecutive="1" xl2000="1" url="http://cf.umassadmin.net/finance/crosswalk/GetCFData4PA.cfm?BU=0&amp;AcctCode=0"/>
  </connection>
  <connection id="349" name="Connection337" type="4" refreshedVersion="3" background="1" saveData="1">
    <webPr sourceData="1" parsePre="1" consecutive="1" xl2000="1" url="http://cf.umassadmin.net/finance/crosswalk/GetCFData4PA2.cfm?BU=0&amp;SpeedKey=0"/>
  </connection>
  <connection id="350" name="Connection338" type="4" refreshedVersion="2" background="1" saveData="1">
    <webPr sourceData="1" parsePre="1" consecutive="1" xl2000="1" url="http://cf.umassadmin.net/finance/crosswalk/GetCFData4PA.cfm?BU=0&amp;AcctCode=0"/>
  </connection>
  <connection id="351" name="Connection339" type="4" refreshedVersion="3" background="1" saveData="1">
    <webPr sourceData="1" parsePre="1" consecutive="1" xl2000="1" url="http://cf.umassadmin.net/finance/crosswalk/GetCFData4PA2.cfm?BU=0&amp;SpeedKey=0"/>
  </connection>
  <connection id="352" name="Connection34" type="4" refreshedVersion="3" background="1" saveData="1">
    <webPr sourceData="1" parsePre="1" consecutive="1" xl2000="1" url="http://cf.umassadmin.net/finance/crosswalk/GetCFData4PA2.cfm?BU=0&amp;SpeedKey=0"/>
  </connection>
  <connection id="353" name="Connection340" type="4" refreshedVersion="2" background="1" saveData="1">
    <webPr sourceData="1" parsePre="1" consecutive="1" xl2000="1" url="http://cf.umassadmin.net/finance/crosswalk/GetCFData4PA.cfm?BU=0&amp;AcctCode=0"/>
  </connection>
  <connection id="354" name="Connection341" type="4" refreshedVersion="2" background="1" saveData="1">
    <webPr sourceData="1" parsePre="1" consecutive="1" xl2000="1" url="http://cf.umassadmin.net/finance/crosswalk/GetCFData4PA.cfm?BU=0&amp;AcctCode=0"/>
  </connection>
  <connection id="355" name="Connection342" type="4" refreshedVersion="3" background="1" saveData="1">
    <webPr sourceData="1" parsePre="1" consecutive="1" xl2000="1" url="http://cf.umassadmin.net/finance/crosswalk/GetCFData4PA2.cfm?BU=0&amp;SpeedKey=0"/>
  </connection>
  <connection id="356" name="Connection343" type="4" refreshedVersion="2" background="1" saveData="1">
    <webPr sourceData="1" parsePre="1" consecutive="1" xl2000="1" url="http://cf.umassadmin.net/finance/crosswalk/GetCFData4PA.cfm?BU=0&amp;AcctCode=0"/>
  </connection>
  <connection id="357" name="Connection344" type="4" refreshedVersion="3" background="1" saveData="1">
    <webPr sourceData="1" parsePre="1" consecutive="1" xl2000="1" url="http://cf.umassadmin.net/finance/crosswalk/GetCFData4PA2.cfm?BU=0&amp;SpeedKey=0"/>
  </connection>
  <connection id="358" name="Connection345" type="4" refreshedVersion="3" background="1" saveData="1">
    <webPr sourceData="1" parsePre="1" consecutive="1" xl2000="1" url="http://cf.umassadmin.net/finance/crosswalk/GetCFData4PA2.cfm?BU=0&amp;SpeedKey=0"/>
  </connection>
  <connection id="359" name="Connection346" type="4" refreshedVersion="2" background="1" saveData="1">
    <webPr sourceData="1" parsePre="1" consecutive="1" xl2000="1" url="http://cf.umassadmin.net/finance/crosswalk/GetCFData4PA.cfm?BU=0&amp;AcctCode=0"/>
  </connection>
  <connection id="360" name="Connection347" type="4" refreshedVersion="3" background="1" saveData="1">
    <webPr sourceData="1" parsePre="1" consecutive="1" xl2000="1" url="http://cf.umassadmin.net/finance/crosswalk/GetCFData4PA2.cfm?BU=0&amp;SpeedKey=0"/>
  </connection>
  <connection id="361" name="Connection348" type="4" refreshedVersion="2" background="1" saveData="1">
    <webPr sourceData="1" parsePre="1" consecutive="1" xl2000="1" url="http://cf.umassadmin.net/finance/crosswalk/GetCFData4PA.cfm?BU=0&amp;AcctCode=0"/>
  </connection>
  <connection id="362" name="Connection349" type="4" refreshedVersion="2" background="1" saveData="1">
    <webPr sourceData="1" parsePre="1" consecutive="1" xl2000="1" url="http://cf.umassadmin.net/finance/crosswalk/GetCFData4PA.cfm?BU=0&amp;AcctCode=0"/>
  </connection>
  <connection id="363" name="Connection35" type="4" refreshedVersion="2" background="1" saveData="1">
    <webPr sourceData="1" parsePre="1" consecutive="1" xl2000="1" url="http://cf.umassadmin.net/finance/crosswalk/GetCFData4PA.cfm?BU=0&amp;AcctCode=0"/>
  </connection>
  <connection id="364" name="Connection350" type="4" refreshedVersion="2" background="1" saveData="1">
    <webPr sourceData="1" parsePre="1" consecutive="1" xl2000="1" url="http://cf.umassadmin.net/finance/crosswalk/GetCFData4PA.cfm?BU=0&amp;AcctCode=0"/>
  </connection>
  <connection id="365" name="Connection351" type="4" refreshedVersion="3" background="1" saveData="1">
    <webPr sourceData="1" parsePre="1" consecutive="1" xl2000="1" url="http://cf.umassadmin.net/finance/crosswalk/GetCFData4PA2.cfm?BU=0&amp;SpeedKey=0"/>
  </connection>
  <connection id="366" name="Connection352" type="4" refreshedVersion="3" background="1" saveData="1">
    <webPr sourceData="1" parsePre="1" consecutive="1" xl2000="1" url="http://cf.umassadmin.net/finance/crosswalk/GetCFData4PA2.cfm?BU=0&amp;SpeedKey=0"/>
  </connection>
  <connection id="367" name="Connection353" type="4" refreshedVersion="3" background="1" saveData="1">
    <webPr sourceData="1" parsePre="1" consecutive="1" xl2000="1" url="http://cf.umassadmin.net/finance/crosswalk/GetCFData4PA2.cfm?BU=0&amp;SpeedKey=0"/>
  </connection>
  <connection id="368" name="Connection354" type="4" refreshedVersion="3" background="1" saveData="1">
    <webPr sourceData="1" parsePre="1" consecutive="1" xl2000="1" url="http://cf.umassadmin.net/finance/crosswalk/GetCFData4PA2.cfm?BU=0&amp;SpeedKey=0"/>
  </connection>
  <connection id="369" name="Connection355" type="4" refreshedVersion="2" background="1" saveData="1">
    <webPr sourceData="1" parsePre="1" consecutive="1" xl2000="1" url="http://cf.umassadmin.net/finance/crosswalk/GetCFData4PA.cfm?BU=0&amp;AcctCode=0"/>
  </connection>
  <connection id="370" name="Connection356" type="4" refreshedVersion="3" background="1" saveData="1">
    <webPr sourceData="1" parsePre="1" consecutive="1" xl2000="1" url="http://cf.umassadmin.net/finance/crosswalk/GetCFData4PA2.cfm?BU=0&amp;SpeedKey=0"/>
  </connection>
  <connection id="371" name="Connection357" type="4" refreshedVersion="2" background="1" saveData="1">
    <webPr sourceData="1" parsePre="1" consecutive="1" xl2000="1" url="http://cf.umassadmin.net/finance/crosswalk/GetCFData4PA.cfm?BU=0&amp;AcctCode=0"/>
  </connection>
  <connection id="372" name="Connection358" type="4" refreshedVersion="3" background="1" saveData="1">
    <webPr sourceData="1" parsePre="1" consecutive="1" xl2000="1" url="http://cf.umassadmin.net/finance/crosswalk/GetCFData4PA2.cfm?BU=0&amp;SpeedKey=0"/>
  </connection>
  <connection id="373" name="Connection359" type="4" refreshedVersion="3" background="1" saveData="1">
    <webPr sourceData="1" parsePre="1" consecutive="1" xl2000="1" url="http://cf.umassadmin.net/finance/crosswalk/GetCFData4PA2.cfm?BU=0&amp;SpeedKey=0"/>
  </connection>
  <connection id="374" name="Connection36" type="4" refreshedVersion="3" background="1" saveData="1">
    <webPr sourceData="1" parsePre="1" consecutive="1" xl2000="1" url="http://cf.umassadmin.net/finance/crosswalk/GetCFData4PA2.cfm?BU=0&amp;SpeedKey=0"/>
  </connection>
  <connection id="375" name="Connection360" type="4" refreshedVersion="2" background="1" saveData="1">
    <webPr sourceData="1" parsePre="1" consecutive="1" xl2000="1" url="http://cf.umassadmin.net/finance/crosswalk/GetCFData4PA.cfm?BU=0&amp;AcctCode=0"/>
  </connection>
  <connection id="376" name="Connection361" type="4" refreshedVersion="3" background="1" saveData="1">
    <webPr sourceData="1" parsePre="1" consecutive="1" xl2000="1" url="http://cf.umassadmin.net/finance/crosswalk/GetCFData4PA2.cfm?BU=0&amp;SpeedKey=0"/>
  </connection>
  <connection id="377" name="Connection362" type="4" refreshedVersion="2" background="1" saveData="1">
    <webPr sourceData="1" parsePre="1" consecutive="1" xl2000="1" url="http://cf.umassadmin.net/finance/crosswalk/GetCFData4PA.cfm?BU=0&amp;AcctCode=0"/>
  </connection>
  <connection id="378" name="Connection363" type="4" refreshedVersion="2" background="1" saveData="1">
    <webPr sourceData="1" parsePre="1" consecutive="1" xl2000="1" url="http://cf.umassadmin.net/finance/crosswalk/GetCFData4PA.cfm?BU=0&amp;AcctCode=0"/>
  </connection>
  <connection id="379" name="Connection364" type="4" refreshedVersion="2" background="1" saveData="1">
    <webPr sourceData="1" parsePre="1" consecutive="1" xl2000="1" url="http://cf.umassadmin.net/finance/crosswalk/GetCFData4PA.cfm?BU=0&amp;AcctCode=0"/>
  </connection>
  <connection id="380" name="Connection365" type="4" refreshedVersion="3" background="1" saveData="1">
    <webPr sourceData="1" parsePre="1" consecutive="1" xl2000="1" url="http://cf.umassadmin.net/finance/crosswalk/GetCFData4PA2.cfm?BU=0&amp;SpeedKey=0"/>
  </connection>
  <connection id="381" name="Connection366" type="4" refreshedVersion="3" background="1" saveData="1">
    <webPr sourceData="1" parsePre="1" consecutive="1" xl2000="1" url="http://cf.umassadmin.net/finance/crosswalk/GetCFData4PA2.cfm?BU=0&amp;SpeedKey=0"/>
  </connection>
  <connection id="382" name="Connection367" type="4" refreshedVersion="3" background="1" saveData="1">
    <webPr sourceData="1" parsePre="1" consecutive="1" xl2000="1" url="http://cf.umassadmin.net/finance/crosswalk/GetCFData4PA2.cfm?BU=0&amp;SpeedKey=0"/>
  </connection>
  <connection id="383" name="Connection368" type="4" refreshedVersion="3" background="1" saveData="1">
    <webPr sourceData="1" parsePre="1" consecutive="1" xl2000="1" url="http://cf.umassadmin.net/finance/crosswalk/GetCFData4PA2.cfm?BU=0&amp;SpeedKey=0"/>
  </connection>
  <connection id="384" name="Connection369" type="4" refreshedVersion="3" background="1" saveData="1">
    <webPr sourceData="1" parsePre="1" consecutive="1" xl2000="1" url="http://cf.umassadmin.net/finance/crosswalk/GetCFData4PA2.cfm?BU=0&amp;SpeedKey=0"/>
  </connection>
  <connection id="385" name="Connection37" type="4" refreshedVersion="3" background="1" saveData="1">
    <webPr sourceData="1" parsePre="1" consecutive="1" xl2000="1" url="http://cf.umassadmin.net/finance/crosswalk/GetCFData4PA2.cfm?BU=0&amp;SpeedKey=0"/>
  </connection>
  <connection id="386" name="Connection370" type="4" refreshedVersion="2" background="1" saveData="1">
    <webPr sourceData="1" parsePre="1" consecutive="1" xl2000="1" url="http://cf.umassadmin.net/finance/crosswalk/GetCFData4PA.cfm?BU=0&amp;AcctCode=0"/>
  </connection>
  <connection id="387" name="Connection371" type="4" refreshedVersion="2" background="1" saveData="1">
    <webPr sourceData="1" parsePre="1" consecutive="1" xl2000="1" url="http://cf.umassadmin.net/finance/crosswalk/GetCFData4PA.cfm?BU=0&amp;AcctCode=0"/>
  </connection>
  <connection id="388" name="Connection372" type="4" refreshedVersion="2" background="1" saveData="1">
    <webPr sourceData="1" parsePre="1" consecutive="1" xl2000="1" url="http://cf.umassadmin.net/finance/crosswalk/GetCFData4PA.cfm?BU=0&amp;AcctCode=0"/>
  </connection>
  <connection id="389" name="Connection373" type="4" refreshedVersion="2" background="1" saveData="1">
    <webPr sourceData="1" parsePre="1" consecutive="1" xl2000="1" url="http://cf.umassadmin.net/finance/crosswalk/GetCFData4PA.cfm?BU=0&amp;AcctCode=0"/>
  </connection>
  <connection id="390" name="Connection374" type="4" refreshedVersion="2" background="1" saveData="1">
    <webPr sourceData="1" parsePre="1" consecutive="1" xl2000="1" url="http://cf.umassadmin.net/finance/crosswalk/GetCFData4PA.cfm?BU=0&amp;AcctCode=0"/>
  </connection>
  <connection id="391" name="Connection375" type="4" refreshedVersion="3" background="1" saveData="1">
    <webPr sourceData="1" parsePre="1" consecutive="1" xl2000="1" url="http://cf.umassadmin.net/finance/crosswalk/GetCFData4PA2.cfm?BU=0&amp;SpeedKey=0"/>
  </connection>
  <connection id="392" name="Connection376" type="4" refreshedVersion="2" background="1" saveData="1">
    <webPr sourceData="1" parsePre="1" consecutive="1" xl2000="1" url="http://cf.umassadmin.net/finance/crosswalk/GetCFData4PA.cfm?BU=0&amp;AcctCode=0"/>
  </connection>
  <connection id="393" name="Connection377" type="4" refreshedVersion="3" background="1" saveData="1">
    <webPr sourceData="1" parsePre="1" consecutive="1" xl2000="1" url="http://cf.umassadmin.net/finance/crosswalk/GetCFData4PA2.cfm?BU=0&amp;SpeedKey=0"/>
  </connection>
  <connection id="394" name="Connection378" type="4" refreshedVersion="2" background="1" saveData="1">
    <webPr sourceData="1" parsePre="1" consecutive="1" xl2000="1" url="http://cf.umassadmin.net/finance/crosswalk/GetCFData4PA.cfm?BU=0&amp;AcctCode=0"/>
  </connection>
  <connection id="395" name="Connection379" type="4" refreshedVersion="3" background="1" saveData="1">
    <webPr sourceData="1" parsePre="1" consecutive="1" xl2000="1" url="http://cf.umassadmin.net/finance/crosswalk/GetCFData4PA2.cfm?BU=0&amp;SpeedKey=0"/>
  </connection>
  <connection id="396" name="Connection38" type="4" refreshedVersion="3" background="1" saveData="1">
    <webPr sourceData="1" parsePre="1" consecutive="1" xl2000="1" url="http://cf.umassadmin.net/finance/crosswalk/GetCFData4PA2.cfm?BU=0&amp;SpeedKey=0"/>
  </connection>
  <connection id="397" name="Connection380" type="4" refreshedVersion="2" background="1" saveData="1">
    <webPr sourceData="1" parsePre="1" consecutive="1" xl2000="1" url="http://cf.umassadmin.net/finance/crosswalk/GetCFData4PA.cfm?BU=0&amp;AcctCode=0"/>
  </connection>
  <connection id="398" name="Connection381" type="4" refreshedVersion="2" background="1" saveData="1">
    <webPr sourceData="1" parsePre="1" consecutive="1" xl2000="1" url="http://cf.umassadmin.net/finance/crosswalk/GetCFData4PA.cfm?BU=0&amp;AcctCode=0"/>
  </connection>
  <connection id="399" name="Connection382" type="4" refreshedVersion="3" background="1" saveData="1">
    <webPr sourceData="1" parsePre="1" consecutive="1" xl2000="1" url="http://cf.umassadmin.net/finance/crosswalk/GetCFData4PA2.cfm?BU=0&amp;SpeedKey=0"/>
  </connection>
  <connection id="400" name="Connection383" type="4" refreshedVersion="2" background="1" saveData="1">
    <webPr sourceData="1" parsePre="1" consecutive="1" xl2000="1" url="http://cf.umassadmin.net/finance/crosswalk/GetCFData4PA.cfm?BU=0&amp;AcctCode=0"/>
  </connection>
  <connection id="401" name="Connection384" type="4" refreshedVersion="3" background="1" saveData="1">
    <webPr sourceData="1" parsePre="1" consecutive="1" xl2000="1" url="http://cf.umassadmin.net/finance/crosswalk/GetCFData4PA2.cfm?BU=0&amp;SpeedKey=0"/>
  </connection>
  <connection id="402" name="Connection385" type="4" refreshedVersion="2" background="1" saveData="1">
    <webPr sourceData="1" parsePre="1" consecutive="1" xl2000="1" url="http://cf.umassadmin.net/finance/crosswalk/GetCFData4PA.cfm?BU=0&amp;AcctCode=0"/>
  </connection>
  <connection id="403" name="Connection386" type="4" refreshedVersion="3" background="1" saveData="1">
    <webPr sourceData="1" parsePre="1" consecutive="1" xl2000="1" url="http://cf.umassadmin.net/finance/crosswalk/GetCFData4PA2.cfm?BU=0&amp;SpeedKey=0"/>
  </connection>
  <connection id="404" name="Connection387" type="4" refreshedVersion="2" background="1" saveData="1">
    <webPr sourceData="1" parsePre="1" consecutive="1" xl2000="1" url="http://cf.umassadmin.net/finance/crosswalk/GetCFData4PA.cfm?BU=0&amp;AcctCode=0"/>
  </connection>
  <connection id="405" name="Connection388" type="4" refreshedVersion="2" background="1" saveData="1">
    <webPr sourceData="1" parsePre="1" consecutive="1" xl2000="1" url="http://cf.umassadmin.net/finance/crosswalk/GetCFData4PA.cfm?BU=0&amp;AcctCode=0"/>
  </connection>
  <connection id="406" name="Connection389" type="4" refreshedVersion="3" background="1" saveData="1">
    <webPr sourceData="1" parsePre="1" consecutive="1" xl2000="1" url="http://cf.umassadmin.net/finance/crosswalk/GetCFData4PA2.cfm?BU=0&amp;SpeedKey=0"/>
  </connection>
  <connection id="407" name="Connection39" type="4" refreshedVersion="3" background="1" saveData="1">
    <webPr sourceData="1" parsePre="1" consecutive="1" xl2000="1" url="http://cf.umassadmin.net/finance/crosswalk/GetCFData4PA2.cfm?BU=0&amp;SpeedKey=0"/>
  </connection>
  <connection id="408" name="Connection390" type="4" refreshedVersion="3" background="1" saveData="1">
    <webPr sourceData="1" parsePre="1" consecutive="1" xl2000="1" url="http://cf.umassadmin.net/finance/crosswalk/GetCFData4PA2.cfm?BU=0&amp;SpeedKey=0"/>
  </connection>
  <connection id="409" name="Connection391" type="4" refreshedVersion="2" background="1" saveData="1">
    <webPr sourceData="1" parsePre="1" consecutive="1" xl2000="1" url="http://cf.umassadmin.net/finance/crosswalk/GetCFData4PA.cfm?BU=0&amp;AcctCode=0"/>
  </connection>
  <connection id="410" name="Connection392" type="4" refreshedVersion="2" background="1" saveData="1">
    <webPr sourceData="1" parsePre="1" consecutive="1" xl2000="1" url="http://cf.umassadmin.net/finance/crosswalk/GetCFData4PA.cfm?BU=0&amp;AcctCode=0"/>
  </connection>
  <connection id="411" name="Connection393" type="4" refreshedVersion="2" background="1" saveData="1">
    <webPr sourceData="1" parsePre="1" consecutive="1" xl2000="1" url="http://cf.umassadmin.net/finance/crosswalk/GetCFData4PA.cfm?BU=0&amp;AcctCode=0"/>
  </connection>
  <connection id="412" name="Connection394" type="4" refreshedVersion="2" background="1" saveData="1">
    <webPr sourceData="1" parsePre="1" consecutive="1" xl2000="1" url="http://cf.umassadmin.net/finance/crosswalk/GetCFData4PA.cfm?BU=0&amp;AcctCode=0"/>
  </connection>
  <connection id="413" name="Connection395" type="4" refreshedVersion="2" background="1" saveData="1">
    <webPr sourceData="1" parsePre="1" consecutive="1" xl2000="1" url="http://cf.umassadmin.net/finance/crosswalk/GetCFData4PA.cfm?BU=0&amp;AcctCode=0"/>
  </connection>
  <connection id="414" name="Connection396" type="4" refreshedVersion="3" background="1" saveData="1">
    <webPr sourceData="1" parsePre="1" consecutive="1" xl2000="1" url="http://cf.umassadmin.net/finance/crosswalk/GetCFData4PA2.cfm?BU=0&amp;SpeedKey=0"/>
  </connection>
  <connection id="415" name="Connection397" type="4" refreshedVersion="2" background="1" saveData="1">
    <webPr sourceData="1" parsePre="1" consecutive="1" xl2000="1" url="http://cf.umassadmin.net/finance/crosswalk/GetCFData4PA.cfm?BU=0&amp;AcctCode=0"/>
  </connection>
  <connection id="416" name="Connection398" type="4" refreshedVersion="3" background="1" saveData="1">
    <webPr sourceData="1" parsePre="1" consecutive="1" xl2000="1" url="http://cf.umassadmin.net/finance/crosswalk/GetCFData4PA2.cfm?BU=0&amp;SpeedKey=0"/>
  </connection>
  <connection id="417" name="Connection399" type="4" refreshedVersion="2" background="1" saveData="1">
    <webPr sourceData="1" parsePre="1" consecutive="1" xl2000="1" url="http://cf.umassadmin.net/finance/crosswalk/GetCFData4PA.cfm?BU=0&amp;AcctCode=0"/>
  </connection>
  <connection id="418" name="Connection4" type="4" refreshedVersion="3" background="1" saveData="1">
    <webPr sourceData="1" parsePre="1" consecutive="1" xl2000="1" url="http://cf.umassadmin.net/finance/crosswalk/GetCFData4PA2.cfm?BU=0&amp;SpeedKey=0"/>
  </connection>
  <connection id="419" name="Connection40" type="4" refreshedVersion="3" background="1" saveData="1">
    <webPr sourceData="1" parsePre="1" consecutive="1" xl2000="1" url="http://cf.umassadmin.net/finance/crosswalk/GetCFData4PA2.cfm?BU=0&amp;SpeedKey=0"/>
  </connection>
  <connection id="420" name="Connection400" type="4" refreshedVersion="2" background="1" saveData="1">
    <webPr sourceData="1" parsePre="1" consecutive="1" xl2000="1" url="http://cf.umassadmin.net/finance/crosswalk/GetCFData4PA.cfm?BU=0&amp;AcctCode=0"/>
  </connection>
  <connection id="421" name="Connection401" type="4" refreshedVersion="3" background="1" saveData="1">
    <webPr sourceData="1" parsePre="1" consecutive="1" xl2000="1" url="http://cf.umassadmin.net/finance/crosswalk/GetCFData4PA2.cfm?BU=0&amp;SpeedKey=0"/>
  </connection>
  <connection id="422" name="Connection402" type="4" refreshedVersion="3" background="1" saveData="1">
    <webPr sourceData="1" parsePre="1" consecutive="1" xl2000="1" url="http://cf.umassadmin.net/finance/crosswalk/GetCFData4PA2.cfm?BU=0&amp;SpeedKey=0"/>
  </connection>
  <connection id="423" name="Connection403" type="4" refreshedVersion="3" background="1" saveData="1">
    <webPr sourceData="1" parsePre="1" consecutive="1" xl2000="1" url="http://cf.umassadmin.net/finance/crosswalk/GetCFData4PA2.cfm?BU=0&amp;SpeedKey=0"/>
  </connection>
  <connection id="424" name="Connection404" type="4" refreshedVersion="2" background="1" saveData="1">
    <webPr sourceData="1" parsePre="1" consecutive="1" xl2000="1" url="http://cf.umassadmin.net/finance/crosswalk/GetCFData4PA.cfm?BU=0&amp;AcctCode=0"/>
  </connection>
  <connection id="425" name="Connection405" type="4" refreshedVersion="3" background="1" saveData="1">
    <webPr sourceData="1" parsePre="1" consecutive="1" xl2000="1" url="http://cf.umassadmin.net/finance/crosswalk/GetCFData4PA2.cfm?BU=0&amp;SpeedKey=0"/>
  </connection>
  <connection id="426" name="Connection406" type="4" refreshedVersion="3" background="1" saveData="1">
    <webPr sourceData="1" parsePre="1" consecutive="1" xl2000="1" url="http://cf.umassadmin.net/finance/crosswalk/GetCFData4PA2.cfm?BU=0&amp;SpeedKey=0"/>
  </connection>
  <connection id="427" name="Connection407" type="4" refreshedVersion="2" background="1" saveData="1">
    <webPr sourceData="1" parsePre="1" consecutive="1" xl2000="1" url="http://cf.umassadmin.net/finance/crosswalk/GetCFData4PA.cfm?BU=0&amp;AcctCode=0"/>
  </connection>
  <connection id="428" name="Connection408" type="4" refreshedVersion="2" background="1" saveData="1">
    <webPr sourceData="1" parsePre="1" consecutive="1" xl2000="1" url="http://cf.umassadmin.net/finance/crosswalk/GetCFData4PA.cfm?BU=0&amp;AcctCode=0"/>
  </connection>
  <connection id="429" name="Connection409" type="4" refreshedVersion="2" background="1" saveData="1">
    <webPr sourceData="1" parsePre="1" consecutive="1" xl2000="1" url="http://cf.umassadmin.net/finance/crosswalk/GetCFData4PA.cfm?BU=0&amp;AcctCode=0"/>
  </connection>
  <connection id="430" name="Connection41" type="4" refreshedVersion="2" background="1" saveData="1">
    <webPr sourceData="1" parsePre="1" consecutive="1" xl2000="1" url="http://cf.umassadmin.net/finance/crosswalk/GetCFData4PA.cfm?BU=0&amp;AcctCode=0"/>
  </connection>
  <connection id="431" name="Connection410" type="4" refreshedVersion="3" background="1" saveData="1">
    <webPr sourceData="1" parsePre="1" consecutive="1" xl2000="1" url="http://cf.umassadmin.net/finance/crosswalk/GetCFData4PA2.cfm?BU=0&amp;SpeedKey=0"/>
  </connection>
  <connection id="432" name="Connection411" type="4" refreshedVersion="2" background="1" saveData="1">
    <webPr sourceData="1" parsePre="1" consecutive="1" xl2000="1" url="http://cf.umassadmin.net/finance/crosswalk/GetCFData4PA.cfm?BU=0&amp;AcctCode=0"/>
  </connection>
  <connection id="433" name="Connection412" type="4" refreshedVersion="2" background="1" saveData="1">
    <webPr sourceData="1" parsePre="1" consecutive="1" xl2000="1" url="http://cf.umassadmin.net/finance/crosswalk/GetCFData4PA.cfm?BU=0&amp;AcctCode=0"/>
  </connection>
  <connection id="434" name="Connection413" type="4" refreshedVersion="2" background="1" saveData="1">
    <webPr sourceData="1" parsePre="1" consecutive="1" xl2000="1" url="http://cf.umassadmin.net/finance/crosswalk/GetCFData4PA.cfm?BU=0&amp;AcctCode=0"/>
  </connection>
  <connection id="435" name="Connection414" type="4" refreshedVersion="2" background="1" saveData="1">
    <webPr sourceData="1" parsePre="1" consecutive="1" xl2000="1" url="http://cf.umassadmin.net/finance/crosswalk/GetCFData4PA.cfm?BU=0&amp;AcctCode=0"/>
  </connection>
  <connection id="436" name="Connection415" type="4" refreshedVersion="2" background="1" saveData="1">
    <webPr sourceData="1" parsePre="1" consecutive="1" xl2000="1" url="http://cf.umassadmin.net/finance/crosswalk/GetCFData4PA.cfm?BU=0&amp;AcctCode=0"/>
  </connection>
  <connection id="437" name="Connection416" type="4" refreshedVersion="3" background="1" saveData="1">
    <webPr sourceData="1" parsePre="1" consecutive="1" xl2000="1" url="http://cf.umassadmin.net/finance/crosswalk/GetCFData4PA2.cfm?BU=0&amp;SpeedKey=0"/>
  </connection>
  <connection id="438" name="Connection417" type="4" refreshedVersion="2" background="1" saveData="1">
    <webPr sourceData="1" parsePre="1" consecutive="1" xl2000="1" url="http://cf.umassadmin.net/finance/crosswalk/GetCFData4PA.cfm?BU=0&amp;AcctCode=0"/>
  </connection>
  <connection id="439" name="Connection418" type="4" refreshedVersion="3" background="1" saveData="1">
    <webPr sourceData="1" parsePre="1" consecutive="1" xl2000="1" url="http://cf.umassadmin.net/finance/crosswalk/GetCFData4PA2.cfm?BU=0&amp;SpeedKey=0"/>
  </connection>
  <connection id="440" name="Connection419" type="4" refreshedVersion="2" background="1" saveData="1">
    <webPr sourceData="1" parsePre="1" consecutive="1" xl2000="1" url="http://cf.umassadmin.net/finance/crosswalk/GetCFData4PA.cfm?BU=0&amp;AcctCode=0"/>
  </connection>
  <connection id="441" name="Connection42" type="4" refreshedVersion="2" background="1" saveData="1">
    <webPr sourceData="1" parsePre="1" consecutive="1" xl2000="1" url="http://cf.umassadmin.net/finance/crosswalk/GetCFData4PA.cfm?BU=0&amp;AcctCode=0"/>
  </connection>
  <connection id="442" name="Connection420" type="4" refreshedVersion="3" background="1" saveData="1">
    <webPr sourceData="1" parsePre="1" consecutive="1" xl2000="1" url="http://cf.umassadmin.net/finance/crosswalk/GetCFData4PA2.cfm?BU=0&amp;SpeedKey=0"/>
  </connection>
  <connection id="443" name="Connection421" type="4" refreshedVersion="3" background="1" saveData="1">
    <webPr sourceData="1" parsePre="1" consecutive="1" xl2000="1" url="http://cf.umassadmin.net/finance/crosswalk/GetCFData4PA2.cfm?BU=0&amp;SpeedKey=0"/>
  </connection>
  <connection id="444" name="Connection422" type="4" refreshedVersion="2" background="1" saveData="1">
    <webPr sourceData="1" parsePre="1" consecutive="1" xl2000="1" url="http://cf.umassadmin.net/finance/crosswalk/GetCFData4PA.cfm?BU=0&amp;AcctCode=0"/>
  </connection>
  <connection id="445" name="Connection423" type="4" refreshedVersion="3" background="1" saveData="1">
    <webPr sourceData="1" parsePre="1" consecutive="1" xl2000="1" url="http://cf.umassadmin.net/finance/crosswalk/GetCFData4PA2.cfm?BU=0&amp;SpeedKey=0"/>
  </connection>
  <connection id="446" name="Connection424" type="4" refreshedVersion="2" background="1" saveData="1">
    <webPr sourceData="1" parsePre="1" consecutive="1" xl2000="1" url="http://cf.umassadmin.net/finance/crosswalk/GetCFData4PA.cfm?BU=0&amp;AcctCode=0"/>
  </connection>
  <connection id="447" name="Connection425" type="4" refreshedVersion="3" background="1" saveData="1">
    <webPr sourceData="1" parsePre="1" consecutive="1" xl2000="1" url="http://cf.umassadmin.net/finance/crosswalk/GetCFData4PA2.cfm?BU=0&amp;SpeedKey=0"/>
  </connection>
  <connection id="448" name="Connection426" type="4" refreshedVersion="3" background="1" saveData="1">
    <webPr sourceData="1" parsePre="1" consecutive="1" xl2000="1" url="http://cf.umassadmin.net/finance/crosswalk/GetCFData4PA2.cfm?BU=0&amp;SpeedKey=0"/>
  </connection>
  <connection id="449" name="Connection427" type="4" refreshedVersion="3" background="1" saveData="1">
    <webPr sourceData="1" parsePre="1" consecutive="1" xl2000="1" url="http://cf.umassadmin.net/finance/crosswalk/GetCFData4PA2.cfm?BU=0&amp;SpeedKey=0"/>
  </connection>
  <connection id="450" name="Connection428" type="4" refreshedVersion="3" background="1" saveData="1">
    <webPr sourceData="1" parsePre="1" consecutive="1" xl2000="1" url="http://cf.umassadmin.net/finance/crosswalk/GetCFData4PA2.cfm?BU=0&amp;SpeedKey=0"/>
  </connection>
  <connection id="451" name="Connection429" type="4" refreshedVersion="2" background="1" saveData="1">
    <webPr sourceData="1" parsePre="1" consecutive="1" xl2000="1" url="http://cf.umassadmin.net/finance/crosswalk/GetCFData4PA.cfm?BU=0&amp;AcctCode=0"/>
  </connection>
  <connection id="452" name="Connection43" type="4" refreshedVersion="3" background="1" saveData="1">
    <webPr sourceData="1" parsePre="1" consecutive="1" xl2000="1" url="http://cf.umassadmin.net/finance/crosswalk/GetCFData4PA2.cfm?BU=0&amp;SpeedKey=0"/>
  </connection>
  <connection id="453" name="Connection430" type="4" refreshedVersion="3" background="1" saveData="1">
    <webPr sourceData="1" parsePre="1" consecutive="1" xl2000="1" url="http://cf.umassadmin.net/finance/crosswalk/GetCFData4PA2.cfm?BU=0&amp;SpeedKey=0"/>
  </connection>
  <connection id="454" name="Connection431" type="4" refreshedVersion="3" background="1" saveData="1">
    <webPr sourceData="1" parsePre="1" consecutive="1" xl2000="1" url="http://cf.umassadmin.net/finance/crosswalk/GetCFData4PA2.cfm?BU=0&amp;SpeedKey=0"/>
  </connection>
  <connection id="455" name="Connection432" type="4" refreshedVersion="2" background="1" saveData="1">
    <webPr sourceData="1" parsePre="1" consecutive="1" xl2000="1" url="http://cf.umassadmin.net/finance/crosswalk/GetCFData4PA.cfm?BU=0&amp;AcctCode=0"/>
  </connection>
  <connection id="456" name="Connection433" type="4" refreshedVersion="2" background="1" saveData="1">
    <webPr sourceData="1" parsePre="1" consecutive="1" xl2000="1" url="http://cf.umassadmin.net/finance/crosswalk/GetCFData4PA.cfm?BU=0&amp;AcctCode=0"/>
  </connection>
  <connection id="457" name="Connection434" type="4" refreshedVersion="2" background="1" saveData="1">
    <webPr sourceData="1" parsePre="1" consecutive="1" xl2000="1" url="http://cf.umassadmin.net/finance/crosswalk/GetCFData4PA.cfm?BU=0&amp;AcctCode=0"/>
  </connection>
  <connection id="458" name="Connection435" type="4" refreshedVersion="2" background="1" saveData="1">
    <webPr sourceData="1" parsePre="1" consecutive="1" xl2000="1" url="http://cf.umassadmin.net/finance/crosswalk/GetCFData4PA.cfm?BU=0&amp;AcctCode=0"/>
  </connection>
  <connection id="459" name="Connection436" type="4" refreshedVersion="3" background="1" saveData="1">
    <webPr sourceData="1" parsePre="1" consecutive="1" xl2000="1" url="http://cf.umassadmin.net/finance/crosswalk/GetCFData4PA2.cfm?BU=0&amp;SpeedKey=0"/>
  </connection>
  <connection id="460" name="Connection437" type="4" refreshedVersion="3" background="1" saveData="1">
    <webPr sourceData="1" parsePre="1" consecutive="1" xl2000="1" url="http://cf.umassadmin.net/finance/crosswalk/GetCFData4PA2.cfm?BU=0&amp;SpeedKey=0"/>
  </connection>
  <connection id="461" name="Connection438" type="4" refreshedVersion="2" background="1" saveData="1">
    <webPr sourceData="1" parsePre="1" consecutive="1" xl2000="1" url="http://cf.umassadmin.net/finance/crosswalk/GetCFData4PA.cfm?BU=0&amp;AcctCode=0"/>
  </connection>
  <connection id="462" name="Connection439" type="4" refreshedVersion="2" background="1" saveData="1">
    <webPr sourceData="1" parsePre="1" consecutive="1" xl2000="1" url="http://cf.umassadmin.net/finance/crosswalk/GetCFData4PA.cfm?BU=0&amp;AcctCode=0"/>
  </connection>
  <connection id="463" name="Connection44" type="4" refreshedVersion="2" background="1" saveData="1">
    <webPr sourceData="1" parsePre="1" consecutive="1" xl2000="1" url="http://cf.umassadmin.net/finance/crosswalk/GetCFData4PA.cfm?BU=0&amp;AcctCode=0"/>
  </connection>
  <connection id="464" name="Connection440" type="4" refreshedVersion="2" background="1" saveData="1">
    <webPr sourceData="1" parsePre="1" consecutive="1" xl2000="1" url="http://cf.umassadmin.net/finance/crosswalk/GetCFData4PA.cfm?BU=0&amp;AcctCode=0"/>
  </connection>
  <connection id="465" name="Connection441" type="4" refreshedVersion="3" background="1" saveData="1">
    <webPr sourceData="1" parsePre="1" consecutive="1" xl2000="1" url="http://cf.umassadmin.net/finance/crosswalk/GetCFData4PA2.cfm?BU=0&amp;SpeedKey=0"/>
  </connection>
  <connection id="466" name="Connection442" type="4" refreshedVersion="3" background="1" saveData="1">
    <webPr sourceData="1" parsePre="1" consecutive="1" xl2000="1" url="http://cf.umassadmin.net/finance/crosswalk/GetCFData4PA2.cfm?BU=0&amp;SpeedKey=0"/>
  </connection>
  <connection id="467" name="Connection443" type="4" refreshedVersion="3" background="1" saveData="1">
    <webPr sourceData="1" parsePre="1" consecutive="1" xl2000="1" url="http://cf.umassadmin.net/finance/crosswalk/GetCFData4PA2.cfm?BU=0&amp;SpeedKey=0"/>
  </connection>
  <connection id="468" name="Connection444" type="4" refreshedVersion="3" background="1" saveData="1">
    <webPr sourceData="1" parsePre="1" consecutive="1" xl2000="1" url="http://cf.umassadmin.net/finance/crosswalk/GetCFData4PA2.cfm?BU=0&amp;SpeedKey=0"/>
  </connection>
  <connection id="469" name="Connection445" type="4" refreshedVersion="3" background="1" saveData="1">
    <webPr sourceData="1" parsePre="1" consecutive="1" xl2000="1" url="http://cf.umassadmin.net/finance/crosswalk/GetCFData4PA2.cfm?BU=0&amp;SpeedKey=0"/>
  </connection>
  <connection id="470" name="Connection446" type="4" refreshedVersion="2" background="1" saveData="1">
    <webPr sourceData="1" parsePre="1" consecutive="1" xl2000="1" url="http://cf.umassadmin.net/finance/crosswalk/GetCFData4PA.cfm?BU=0&amp;AcctCode=0"/>
  </connection>
  <connection id="471" name="Connection447" type="4" refreshedVersion="3" background="1" saveData="1">
    <webPr sourceData="1" parsePre="1" consecutive="1" xl2000="1" url="http://cf.umassadmin.net/finance/crosswalk/GetCFData4PA2.cfm?BU=0&amp;SpeedKey=0"/>
  </connection>
  <connection id="472" name="Connection448" type="4" refreshedVersion="2" background="1" saveData="1">
    <webPr sourceData="1" parsePre="1" consecutive="1" xl2000="1" url="http://cf.umassadmin.net/finance/crosswalk/GetCFData4PA.cfm?BU=0&amp;AcctCode=0"/>
  </connection>
  <connection id="473" name="Connection449" type="4" refreshedVersion="3" background="1" saveData="1">
    <webPr sourceData="1" parsePre="1" consecutive="1" xl2000="1" url="http://cf.umassadmin.net/finance/crosswalk/GetCFData4PA2.cfm?BU=0&amp;SpeedKey=0"/>
  </connection>
  <connection id="474" name="Connection45" type="4" refreshedVersion="2" background="1" saveData="1">
    <webPr sourceData="1" parsePre="1" consecutive="1" xl2000="1" url="http://cf.umassadmin.net/finance/crosswalk/GetCFData4PA.cfm?BU=0&amp;AcctCode=0"/>
  </connection>
  <connection id="475" name="Connection450" type="4" refreshedVersion="2" background="1" saveData="1">
    <webPr sourceData="1" parsePre="1" consecutive="1" xl2000="1" url="http://cf.umassadmin.net/finance/crosswalk/GetCFData4PA.cfm?BU=0&amp;AcctCode=0"/>
  </connection>
  <connection id="476" name="Connection451" type="4" refreshedVersion="3" background="1" saveData="1">
    <webPr sourceData="1" parsePre="1" consecutive="1" xl2000="1" url="http://cf.umassadmin.net/finance/crosswalk/GetCFData4PA2.cfm?BU=0&amp;SpeedKey=0"/>
  </connection>
  <connection id="477" name="Connection452" type="4" refreshedVersion="2" background="1" saveData="1">
    <webPr sourceData="1" parsePre="1" consecutive="1" xl2000="1" url="http://cf.umassadmin.net/finance/crosswalk/GetCFData4PA.cfm?BU=0&amp;AcctCode=0"/>
  </connection>
  <connection id="478" name="Connection453" type="4" refreshedVersion="3" background="1" saveData="1">
    <webPr sourceData="1" parsePre="1" consecutive="1" xl2000="1" url="http://cf.umassadmin.net/finance/crosswalk/GetCFData4PA2.cfm?BU=0&amp;SpeedKey=0"/>
  </connection>
  <connection id="479" name="Connection454" type="4" refreshedVersion="3" background="1" saveData="1">
    <webPr sourceData="1" parsePre="1" consecutive="1" xl2000="1" url="http://cf.umassadmin.net/finance/crosswalk/GetCFData4PA2.cfm?BU=0&amp;SpeedKey=0"/>
  </connection>
  <connection id="480" name="Connection455" type="4" refreshedVersion="2" background="1" saveData="1">
    <webPr sourceData="1" parsePre="1" consecutive="1" xl2000="1" url="http://cf.umassadmin.net/finance/crosswalk/GetCFData4PA.cfm?BU=0&amp;AcctCode=0"/>
  </connection>
  <connection id="481" name="Connection456" type="4" refreshedVersion="2" background="1" saveData="1">
    <webPr sourceData="1" parsePre="1" consecutive="1" xl2000="1" url="http://cf.umassadmin.net/finance/crosswalk/GetCFData4PA.cfm?BU=0&amp;AcctCode=0"/>
  </connection>
  <connection id="482" name="Connection457" type="4" refreshedVersion="2" background="1" saveData="1">
    <webPr sourceData="1" parsePre="1" consecutive="1" xl2000="1" url="http://cf.umassadmin.net/finance/crosswalk/GetCFData4PA.cfm?BU=0&amp;AcctCode=0"/>
  </connection>
  <connection id="483" name="Connection458" type="4" refreshedVersion="3" background="1" saveData="1">
    <webPr sourceData="1" parsePre="1" consecutive="1" xl2000="1" url="http://cf.umassadmin.net/finance/crosswalk/GetCFData4PA2.cfm?BU=0&amp;SpeedKey=0"/>
  </connection>
  <connection id="484" name="Connection459" type="4" refreshedVersion="3" background="1" saveData="1">
    <webPr sourceData="1" parsePre="1" consecutive="1" xl2000="1" url="http://cf.umassadmin.net/finance/crosswalk/GetCFData4PA2.cfm?BU=0&amp;SpeedKey=0"/>
  </connection>
  <connection id="485" name="Connection46" type="4" refreshedVersion="2" background="1" saveData="1">
    <webPr sourceData="1" parsePre="1" consecutive="1" xl2000="1" url="http://cf.umassadmin.net/finance/crosswalk/GetCFData4PA.cfm?BU=0&amp;AcctCode=0"/>
  </connection>
  <connection id="486" name="Connection460" type="4" refreshedVersion="2" background="1" saveData="1">
    <webPr sourceData="1" parsePre="1" consecutive="1" xl2000="1" url="http://cf.umassadmin.net/finance/crosswalk/GetCFData4PA.cfm?BU=0&amp;AcctCode=0"/>
  </connection>
  <connection id="487" name="Connection461" type="4" refreshedVersion="3" background="1" saveData="1">
    <webPr sourceData="1" parsePre="1" consecutive="1" xl2000="1" url="http://cf.umassadmin.net/finance/crosswalk/GetCFData4PA2.cfm?BU=0&amp;SpeedKey=0"/>
  </connection>
  <connection id="488" name="Connection462" type="4" refreshedVersion="3" background="1" saveData="1">
    <webPr sourceData="1" parsePre="1" consecutive="1" xl2000="1" url="http://cf.umassadmin.net/finance/crosswalk/GetCFData4PA2.cfm?BU=0&amp;SpeedKey=0"/>
  </connection>
  <connection id="489" name="Connection463" type="4" refreshedVersion="3" background="1" saveData="1">
    <webPr sourceData="1" parsePre="1" consecutive="1" xl2000="1" url="http://cf.umassadmin.net/finance/crosswalk/GetCFData4PA2.cfm?BU=0&amp;SpeedKey=0"/>
  </connection>
  <connection id="490" name="Connection464" type="4" refreshedVersion="3" background="1" saveData="1">
    <webPr sourceData="1" parsePre="1" consecutive="1" xl2000="1" url="http://cf.umassadmin.net/finance/crosswalk/GetCFData4PA2.cfm?BU=0&amp;SpeedKey=0"/>
  </connection>
  <connection id="491" name="Connection465" type="4" refreshedVersion="3" background="1" saveData="1">
    <webPr sourceData="1" parsePre="1" consecutive="1" xl2000="1" url="http://cf.umassadmin.net/finance/crosswalk/GetCFData4PA2.cfm?BU=0&amp;SpeedKey=0"/>
  </connection>
  <connection id="492" name="Connection466" type="4" refreshedVersion="3" background="1" saveData="1">
    <webPr sourceData="1" parsePre="1" consecutive="1" xl2000="1" url="http://cf.umassadmin.net/finance/crosswalk/GetCFData4PA2.cfm?BU=0&amp;SpeedKey=0"/>
  </connection>
  <connection id="493" name="Connection467" type="4" refreshedVersion="2" background="1" saveData="1">
    <webPr sourceData="1" parsePre="1" consecutive="1" xl2000="1" url="http://cf.umassadmin.net/finance/crosswalk/GetCFData4PA.cfm?BU=0&amp;AcctCode=0"/>
  </connection>
  <connection id="494" name="Connection468" type="4" refreshedVersion="3" background="1" saveData="1">
    <webPr sourceData="1" parsePre="1" consecutive="1" xl2000="1" url="http://cf.umassadmin.net/finance/crosswalk/GetCFData4PA2.cfm?BU=0&amp;SpeedKey=0"/>
  </connection>
  <connection id="495" name="Connection469" type="4" refreshedVersion="3" background="1" saveData="1">
    <webPr sourceData="1" parsePre="1" consecutive="1" xl2000="1" url="http://cf.umassadmin.net/finance/crosswalk/GetCFData4PA2.cfm?BU=0&amp;SpeedKey=0"/>
  </connection>
  <connection id="496" name="Connection47" type="4" refreshedVersion="3" background="1" saveData="1">
    <webPr sourceData="1" parsePre="1" consecutive="1" xl2000="1" url="http://cf.umassadmin.net/finance/crosswalk/GetCFData4PA2.cfm?BU=0&amp;SpeedKey=0"/>
  </connection>
  <connection id="497" name="Connection470" type="4" refreshedVersion="3" background="1" saveData="1">
    <webPr sourceData="1" parsePre="1" consecutive="1" xl2000="1" url="http://cf.umassadmin.net/finance/crosswalk/GetCFData4PA2.cfm?BU=0&amp;SpeedKey=0"/>
  </connection>
  <connection id="498" name="Connection471" type="4" refreshedVersion="2" background="1" saveData="1">
    <webPr sourceData="1" parsePre="1" consecutive="1" xl2000="1" url="http://cf.umassadmin.net/finance/crosswalk/GetCFData4PA.cfm?BU=0&amp;AcctCode=0"/>
  </connection>
  <connection id="499" name="Connection472" type="4" refreshedVersion="3" background="1" saveData="1">
    <webPr sourceData="1" parsePre="1" consecutive="1" xl2000="1" url="http://cf.umassadmin.net/finance/crosswalk/GetCFData4PA2.cfm?BU=0&amp;SpeedKey=0"/>
  </connection>
  <connection id="500" name="Connection473" type="4" refreshedVersion="3" background="1" saveData="1">
    <webPr sourceData="1" parsePre="1" consecutive="1" xl2000="1" url="http://cf.umassadmin.net/finance/crosswalk/GetCFData4PA2.cfm?BU=0&amp;SpeedKey=0"/>
  </connection>
  <connection id="501" name="Connection474" type="4" refreshedVersion="3" background="1" saveData="1">
    <webPr sourceData="1" parsePre="1" consecutive="1" xl2000="1" url="http://cf.umassadmin.net/finance/crosswalk/GetCFData4PA2.cfm?BU=0&amp;SpeedKey=0"/>
  </connection>
  <connection id="502" name="Connection475" type="4" refreshedVersion="3" background="1" saveData="1">
    <webPr sourceData="1" parsePre="1" consecutive="1" xl2000="1" url="http://cf.umassadmin.net/finance/crosswalk/GetCFData4PA2.cfm?BU=0&amp;SpeedKey=0"/>
  </connection>
  <connection id="503" name="Connection476" type="4" refreshedVersion="2" background="1" saveData="1">
    <webPr sourceData="1" parsePre="1" consecutive="1" xl2000="1" url="http://cf.umassadmin.net/finance/crosswalk/GetCFData4PA.cfm?BU=0&amp;AcctCode=0"/>
  </connection>
  <connection id="504" name="Connection477" type="4" refreshedVersion="3" background="1" saveData="1">
    <webPr sourceData="1" parsePre="1" consecutive="1" xl2000="1" url="http://cf.umassadmin.net/finance/crosswalk/GetCFData4PA2.cfm?BU=0&amp;SpeedKey=0"/>
  </connection>
  <connection id="505" name="Connection478" type="4" refreshedVersion="3" background="1" saveData="1">
    <webPr sourceData="1" parsePre="1" consecutive="1" xl2000="1" url="http://cf.umassadmin.net/finance/crosswalk/GetCFData4PA2.cfm?BU=0&amp;SpeedKey=0"/>
  </connection>
  <connection id="506" name="Connection479" type="4" refreshedVersion="2" background="1" saveData="1">
    <webPr sourceData="1" parsePre="1" consecutive="1" xl2000="1" url="http://cf.umassadmin.net/finance/crosswalk/GetCFData4PA.cfm?BU=0&amp;AcctCode=0"/>
  </connection>
  <connection id="507" name="Connection48" type="4" refreshedVersion="3" background="1" saveData="1">
    <webPr sourceData="1" parsePre="1" consecutive="1" xl2000="1" url="http://cf.umassadmin.net/finance/crosswalk/GetCFData4PA2.cfm?BU=0&amp;SpeedKey=0"/>
  </connection>
  <connection id="508" name="Connection480" type="4" refreshedVersion="3" background="1" saveData="1">
    <webPr sourceData="1" parsePre="1" consecutive="1" xl2000="1" url="http://cf.umassadmin.net/finance/crosswalk/GetCFData4PA2.cfm?BU=0&amp;SpeedKey=0"/>
  </connection>
  <connection id="509" name="Connection481" type="4" refreshedVersion="3" background="1" saveData="1">
    <webPr sourceData="1" parsePre="1" consecutive="1" xl2000="1" url="http://cf.umassadmin.net/finance/crosswalk/GetCFData4PA2.cfm?BU=0&amp;SpeedKey=0"/>
  </connection>
  <connection id="510" name="Connection482" type="4" refreshedVersion="2" background="1" saveData="1">
    <webPr sourceData="1" parsePre="1" consecutive="1" xl2000="1" url="http://cf.umassadmin.net/finance/crosswalk/GetCFData4PA.cfm?BU=0&amp;AcctCode=0"/>
  </connection>
  <connection id="511" name="Connection483" type="4" refreshedVersion="3" background="1" saveData="1">
    <webPr sourceData="1" parsePre="1" consecutive="1" xl2000="1" url="http://cf.umassadmin.net/finance/crosswalk/GetCFData4PA2.cfm?BU=0&amp;SpeedKey=0"/>
  </connection>
  <connection id="512" name="Connection484" type="4" refreshedVersion="3" background="1" saveData="1">
    <webPr sourceData="1" parsePre="1" consecutive="1" xl2000="1" url="http://cf.umassadmin.net/finance/crosswalk/GetCFData4PA2.cfm?BU=0&amp;SpeedKey=0"/>
  </connection>
  <connection id="513" name="Connection485" type="4" refreshedVersion="2" background="1" saveData="1">
    <webPr sourceData="1" parsePre="1" consecutive="1" xl2000="1" url="http://cf.umassadmin.net/finance/crosswalk/GetCFData4PA.cfm?BU=0&amp;AcctCode=0"/>
  </connection>
  <connection id="514" name="Connection486" type="4" refreshedVersion="2" background="1" saveData="1">
    <webPr sourceData="1" parsePre="1" consecutive="1" xl2000="1" url="http://cf.umassadmin.net/finance/crosswalk/GetCFData4PA.cfm?BU=0&amp;AcctCode=0"/>
  </connection>
  <connection id="515" name="Connection487" type="4" refreshedVersion="3" background="1" saveData="1">
    <webPr sourceData="1" parsePre="1" consecutive="1" xl2000="1" url="http://cf.umassadmin.net/finance/crosswalk/GetCFData4PA2.cfm?BU=0&amp;SpeedKey=0"/>
  </connection>
  <connection id="516" name="Connection488" type="4" refreshedVersion="2" background="1" saveData="1">
    <webPr sourceData="1" parsePre="1" consecutive="1" xl2000="1" url="http://cf.umassadmin.net/finance/crosswalk/GetCFData4PA.cfm?BU=0&amp;AcctCode=0"/>
  </connection>
  <connection id="517" name="Connection489" type="4" refreshedVersion="2" background="1" saveData="1">
    <webPr sourceData="1" parsePre="1" consecutive="1" xl2000="1" url="http://cf.umassadmin.net/finance/crosswalk/GetCFData4PA.cfm?BU=0&amp;AcctCode=0"/>
  </connection>
  <connection id="518" name="Connection49" type="4" refreshedVersion="2" background="1" saveData="1">
    <webPr sourceData="1" parsePre="1" consecutive="1" xl2000="1" url="http://cf.umassadmin.net/finance/crosswalk/GetCFData4PA.cfm?BU=0&amp;AcctCode=0"/>
  </connection>
  <connection id="519" name="Connection490" type="4" refreshedVersion="2" background="1" saveData="1">
    <webPr sourceData="1" parsePre="1" consecutive="1" xl2000="1" url="http://cf.umassadmin.net/crosswalk/GetCFData4PA.cfm?BU=0&amp;AcctCode=0"/>
  </connection>
  <connection id="520" name="Connection491" type="4" refreshedVersion="2" background="1" saveData="1">
    <webPr sourceData="1" parsePre="1" consecutive="1" xl2000="1" url="http://cf.umassadmin.net/finance/crosswalk/GetCFData4PA.cfm?BU=0&amp;AcctCode=0"/>
  </connection>
  <connection id="521" name="Connection492" type="4" refreshedVersion="3" background="1" saveData="1">
    <webPr sourceData="1" parsePre="1" consecutive="1" xl2000="1" url="http://cf.umassadmin.net/finance/crosswalk/GetCFData4PA2.cfm?BU=0&amp;SpeedKey=0"/>
  </connection>
  <connection id="522" name="Connection493" type="4" refreshedVersion="3" background="1" saveData="1">
    <webPr sourceData="1" parsePre="1" consecutive="1" xl2000="1" url="http://cf.umassadmin.net/finance/crosswalk/GetCFData4PA2.cfm?BU=0&amp;SpeedKey=0"/>
  </connection>
  <connection id="523" name="Connection494" type="4" refreshedVersion="2" background="1" saveData="1">
    <webPr sourceData="1" parsePre="1" consecutive="1" xl2000="1" url="http://cf.umassadmin.net/finance/crosswalk/GetCFData4PA.cfm?BU=0&amp;AcctCode=0"/>
  </connection>
  <connection id="524" name="Connection495" type="4" refreshedVersion="2" background="1" saveData="1">
    <webPr sourceData="1" parsePre="1" consecutive="1" xl2000="1" url="http://cf.umassadmin.net/finance/crosswalk/GetCFData4PA.cfm?BU=0&amp;AcctCode=0"/>
  </connection>
  <connection id="525" name="Connection496" type="4" refreshedVersion="2" background="1" saveData="1">
    <webPr sourceData="1" parsePre="1" consecutive="1" xl2000="1" url="http://cf.umassadmin.net/finance/crosswalk/GetCFData4PA2.cfm?BU=UMWOR&amp;SpeedKey=0"/>
  </connection>
  <connection id="526" name="Connection497" type="4" refreshedVersion="2" background="1" saveData="1">
    <webPr sourceData="1" parsePre="1" consecutive="1" xl2000="1" url="http://cf.umassadmin.net/finance/crosswalk/GetCFData4PA2.cfm?BU=UMWOR&amp;SpeedKey=0"/>
  </connection>
  <connection id="527" name="Connection498" type="4" refreshedVersion="2" background="1" saveData="1">
    <webPr sourceData="1" parsePre="1" consecutive="1" xl2000="1" url="http://cf.umassadmin.net/finance/crosswalk/GetCFData4PA2.cfm?BU=UMWOR&amp;SpeedKey=0"/>
  </connection>
  <connection id="528" name="Connection499" type="4" refreshedVersion="2" background="1" saveData="1">
    <webPr sourceData="1" parsePre="1" consecutive="1" xl2000="1" url="http://cf.umassadmin.net/crosswalk/GetCFData4PA.cfm?BU=UMWOR&amp;AcctCode=W102836"/>
  </connection>
  <connection id="529" name="Connection5" type="4" refreshedVersion="2" background="1" saveData="1">
    <webPr sourceData="1" parsePre="1" consecutive="1" xl2000="1" url="http://cf.umassadmin.net/finance/crosswalk/GetCFData4PA.cfm?BU=0&amp;AcctCode=0"/>
  </connection>
  <connection id="530" name="Connection50" type="4" refreshedVersion="3" background="1" saveData="1">
    <webPr sourceData="1" parsePre="1" consecutive="1" xl2000="1" url="http://cf.umassadmin.net/finance/crosswalk/GetCFData4PA2.cfm?BU=0&amp;SpeedKey=0"/>
  </connection>
  <connection id="531" name="Connection500" type="4" refreshedVersion="2" background="1" saveData="1">
    <webPr sourceData="1" parsePre="1" consecutive="1" xl2000="1" url="http://cf.umassadmin.net/crosswalk/GetCFData4PA.cfm?BU=UMWOR&amp;AcctCode=W102836"/>
  </connection>
  <connection id="532" name="Connection501" type="4" refreshedVersion="2" background="1" saveData="1">
    <webPr sourceData="1" parsePre="1" consecutive="1" xl2000="1" url="http://cf.umassadmin.net/crosswalk/GetCFData4PA.cfm?BU=UMWOR&amp;AcctCode=W102836"/>
  </connection>
  <connection id="533" name="Connection502" type="4" refreshedVersion="2" background="1" saveData="1">
    <webPr sourceData="1" parsePre="1" consecutive="1" xl2000="1" url="http://cf.umassadmin.net/crosswalk/GetCFData4PA.cfm?BU=UMWOR&amp;AcctCode=W102836"/>
  </connection>
  <connection id="534" name="Connection503" type="4" refreshedVersion="2" background="1" saveData="1">
    <webPr sourceData="1" parsePre="1" consecutive="1" xl2000="1" url="http://cf.umassadmin.net/crosswalk/GetCFData4PA.cfm?BU=UMWOR&amp;AcctCode=W102836"/>
  </connection>
  <connection id="535" name="Connection504" type="4" refreshedVersion="2" background="1" saveData="1">
    <webPr sourceData="1" parsePre="1" consecutive="1" xl2000="1" url="http://cf.umassadmin.net/crosswalk/GetCFData4PA.cfm?BU=UMWOR&amp;AcctCode=W102836"/>
  </connection>
  <connection id="536" name="Connection505" type="4" refreshedVersion="2" background="1" saveData="1">
    <webPr sourceData="1" parsePre="1" consecutive="1" xl2000="1" url="http://cf.umassadmin.net/crosswalk/GetCFData4PA.cfm?BU=UMWOR&amp;AcctCode=W102836"/>
  </connection>
  <connection id="537" name="Connection506" type="4" refreshedVersion="2" background="1" saveData="1">
    <webPr sourceData="1" parsePre="1" consecutive="1" xl2000="1" url="http://cf.umassadmin.net/crosswalk/GetCFData4PA.cfm?BU=UMWOR&amp;AcctCode=W102836"/>
  </connection>
  <connection id="538" name="Connection507" type="4" refreshedVersion="2" background="1" saveData="1">
    <webPr sourceData="1" parsePre="1" consecutive="1" xl2000="1" url="http://cf.umassadmin.net/crosswalk/GetCFData4PA.cfm?BU=UMWOR&amp;AcctCode=W102836"/>
  </connection>
  <connection id="539" name="Connection508" type="4" refreshedVersion="2" background="1" saveData="1">
    <webPr sourceData="1" parsePre="1" consecutive="1" xl2000="1" url="http://cf.umassadmin.net/crosswalk/GetCFData4PA.cfm?BU=UMWOR&amp;AcctCode=W102836"/>
  </connection>
  <connection id="540" name="Connection509" type="4" refreshedVersion="2" background="1" saveData="1">
    <webPr sourceData="1" parsePre="1" consecutive="1" xl2000="1" url="http://cf.umassadmin.net/crosswalk/GetCFData4PA.cfm?BU=UMWOR&amp;AcctCode=W102836"/>
  </connection>
  <connection id="541" name="Connection51" type="4" refreshedVersion="2" background="1" saveData="1">
    <webPr sourceData="1" parsePre="1" consecutive="1" xl2000="1" url="http://cf.umassadmin.net/finance/crosswalk/GetCFData4PA.cfm?BU=0&amp;AcctCode=0"/>
  </connection>
  <connection id="542" name="Connection510" type="4" refreshedVersion="2" background="1" saveData="1">
    <webPr sourceData="1" parsePre="1" consecutive="1" xl2000="1" url="http://cf.umassadmin.net/crosswalk/GetCFData4PA.cfm?BU=UMWOR&amp;AcctCode=W102836"/>
  </connection>
  <connection id="543" name="Connection511" type="4" refreshedVersion="2" background="1" saveData="1">
    <webPr sourceData="1" parsePre="1" consecutive="1" xl2000="1" url="http://cf.umassadmin.net/crosswalk/GetCFData4PA.cfm?BU=UMWOR&amp;AcctCode=W102836"/>
  </connection>
  <connection id="544" name="Connection512" type="4" refreshedVersion="2" background="1" saveData="1">
    <webPr sourceData="1" parsePre="1" consecutive="1" xl2000="1" url="http://cf.umassadmin.net/crosswalk/GetCFData4PA.cfm?BU=UMWOR&amp;AcctCode=W102836"/>
  </connection>
  <connection id="545" name="Connection513" type="4" refreshedVersion="2" background="1" saveData="1">
    <webPr sourceData="1" parsePre="1" consecutive="1" xl2000="1" url="http://cf.umassadmin.net/crosswalk/GetCFData4PA.cfm?BU=UMWOR&amp;AcctCode=W102836"/>
  </connection>
  <connection id="546" name="Connection514" type="4" refreshedVersion="2" background="1" saveData="1">
    <webPr sourceData="1" parsePre="1" consecutive="1" xl2000="1" url="http://cf.umassadmin.net/crosswalk/GetCFData4PA.cfm?BU=UMWOR&amp;AcctCode=W102836"/>
  </connection>
  <connection id="547" name="Connection515" type="4" refreshedVersion="2" background="1" saveData="1">
    <webPr sourceData="1" parsePre="1" consecutive="1" xl2000="1" url="http://cf.umassadmin.net/crosswalk/GetCFData4PA.cfm?BU=UMWOR&amp;AcctCode=W102836"/>
  </connection>
  <connection id="548" name="Connection516" type="4" refreshedVersion="2" background="1" saveData="1">
    <webPr sourceData="1" parsePre="1" consecutive="1" xl2000="1" url="http://cf.umassadmin.net/crosswalk/GetCFData4PA.cfm?BU=UMWOR&amp;AcctCode=W102836"/>
  </connection>
  <connection id="549" name="Connection517" type="4" refreshedVersion="2" background="1" saveData="1">
    <webPr sourceData="1" parsePre="1" consecutive="1" xl2000="1" url="http://cf.umassadmin.net/crosswalk/GetCFData4PA.cfm?BU=UMWOR&amp;AcctCode=W102836"/>
  </connection>
  <connection id="550" name="Connection518" type="4" refreshedVersion="2" background="1" saveData="1">
    <webPr sourceData="1" parsePre="1" consecutive="1" xl2000="1" url="http://cf.umassadmin.net/crosswalk/GetCFData4PA.cfm?BU=UMWOR&amp;AcctCode=W102836"/>
  </connection>
  <connection id="551" name="Connection519" type="4" refreshedVersion="2" background="1" saveData="1">
    <webPr sourceData="1" parsePre="1" consecutive="1" xl2000="1" url="http://cf.umassadmin.net/crosswalk/GetCFData4PA.cfm?BU=UMWOR&amp;AcctCode=W102836"/>
  </connection>
  <connection id="552" name="Connection52" type="4" refreshedVersion="3" background="1" saveData="1">
    <webPr sourceData="1" parsePre="1" consecutive="1" xl2000="1" url="http://cf.umassadmin.net/finance/crosswalk/GetCFData4PA2.cfm?BU=0&amp;SpeedKey=0"/>
  </connection>
  <connection id="553" name="Connection520" type="4" refreshedVersion="2" background="1" saveData="1">
    <webPr sourceData="1" parsePre="1" consecutive="1" xl2000="1" url="http://cf.umassadmin.net/crosswalk/GetCFData4PA.cfm?BU=UMWOR&amp;AcctCode=W102836"/>
  </connection>
  <connection id="554" name="Connection521" type="4" refreshedVersion="3" background="1" saveData="1">
    <webPr sourceData="1" parsePre="1" consecutive="1" xl2000="1" url="http://cf.umassadmin.net/finance/crosswalk/GetCFData4PA2.cfm?BU=0&amp;SpeedKey=0"/>
  </connection>
  <connection id="555" name="Connection522" type="4" refreshedVersion="2" background="1" saveData="1">
    <webPr sourceData="1" parsePre="1" consecutive="1" xl2000="1" url="http://cf.umassadmin.net/crosswalk/GetCFData4PA.cfm?BU=UMWOR&amp;AcctCode=W102836"/>
  </connection>
  <connection id="556" name="Connection523" type="4" refreshedVersion="2" background="1" saveData="1">
    <webPr sourceData="1" parsePre="1" consecutive="1" xl2000="1" url="http://cf.umassadmin.net/crosswalk/GetCFData4PA.cfm?BU=UMWOR&amp;AcctCode=W102836"/>
  </connection>
  <connection id="557" name="Connection524" type="4" refreshedVersion="2" background="1" saveData="1">
    <webPr sourceData="1" parsePre="1" consecutive="1" xl2000="1" url="http://cf.umassadmin.net/crosswalk/GetCFData4PA.cfm?BU=UMWOR&amp;AcctCode=W102836"/>
  </connection>
  <connection id="558" name="Connection525" type="4" refreshedVersion="2" background="1" saveData="1">
    <webPr sourceData="1" parsePre="1" consecutive="1" xl2000="1" url="http://cf.umassadmin.net/crosswalk/GetCFData4PA.cfm?BU=UMWOR&amp;AcctCode=W102836"/>
  </connection>
  <connection id="559" name="Connection526" type="4" refreshedVersion="2" background="1" saveData="1">
    <webPr sourceData="1" parsePre="1" consecutive="1" xl2000="1" url="http://cf.umassadmin.net/crosswalk/GetCFData4PA.cfm?BU=UMWOR&amp;AcctCode=W102836"/>
  </connection>
  <connection id="560" name="Connection527" type="4" refreshedVersion="2" background="1" saveData="1">
    <webPr sourceData="1" parsePre="1" consecutive="1" xl2000="1" url="http://cf.umassadmin.net/crosswalk/GetCFData4PA.cfm?BU=UMWOR&amp;AcctCode=W102836"/>
  </connection>
  <connection id="561" name="Connection528" type="4" refreshedVersion="2" background="1" saveData="1">
    <webPr sourceData="1" parsePre="1" consecutive="1" xl2000="1" url="http://cf.umassadmin.net/crosswalk/GetCFData4PA.cfm?BU=UMWOR&amp;AcctCode=W102836"/>
  </connection>
  <connection id="562" name="Connection529" type="4" refreshedVersion="2" background="1" saveData="1">
    <webPr sourceData="1" parsePre="1" consecutive="1" xl2000="1" url="http://cf.umassadmin.net/crosswalk/GetCFData4PA.cfm?BU=UMWOR&amp;AcctCode=W102836"/>
  </connection>
  <connection id="563" name="Connection53" type="4" refreshedVersion="2" background="1" saveData="1">
    <webPr sourceData="1" parsePre="1" consecutive="1" xl2000="1" url="http://cf.umassadmin.net/finance/crosswalk/GetCFData4PA.cfm?BU=0&amp;AcctCode=0"/>
  </connection>
  <connection id="564" name="Connection530" type="4" refreshedVersion="2" background="1" saveData="1">
    <webPr sourceData="1" parsePre="1" consecutive="1" xl2000="1" url="http://cf.umassadmin.net/crosswalk/GetCFData4PA.cfm?BU=UMWOR&amp;AcctCode=W102836"/>
  </connection>
  <connection id="565" name="Connection531" type="4" refreshedVersion="2" background="1" saveData="1">
    <webPr sourceData="1" parsePre="1" consecutive="1" xl2000="1" url="http://cf.umassadmin.net/crosswalk/GetCFData4PA.cfm?BU=UMWOR&amp;AcctCode=W102836"/>
  </connection>
  <connection id="566" name="Connection532" type="4" refreshedVersion="2" background="1" saveData="1">
    <webPr sourceData="1" parsePre="1" consecutive="1" xl2000="1" url="http://cf.umassadmin.net/crosswalk/GetCFData4PA.cfm?BU=UMWOR&amp;AcctCode=W102836"/>
  </connection>
  <connection id="567" name="Connection533" type="4" refreshedVersion="2" background="1" saveData="1">
    <webPr sourceData="1" parsePre="1" consecutive="1" xl2000="1" url="http://cf.umassadmin.net/crosswalk/GetCFData4PA.cfm?BU=UMWOR&amp;AcctCode=W102836"/>
  </connection>
  <connection id="568" name="Connection534" type="4" refreshedVersion="2" background="1" saveData="1">
    <webPr sourceData="1" parsePre="1" consecutive="1" xl2000="1" url="http://cf.umassadmin.net/crosswalk/GetCFData4PA.cfm?BU=UMWOR&amp;AcctCode=W102836"/>
  </connection>
  <connection id="569" name="Connection535" type="4" refreshedVersion="2" background="1" saveData="1">
    <webPr sourceData="1" parsePre="1" consecutive="1" xl2000="1" url="http://cf.umassadmin.net/crosswalk/GetCFData4PA.cfm?BU=UMWOR&amp;AcctCode=W102836"/>
  </connection>
  <connection id="570" name="Connection536" type="4" refreshedVersion="2" background="1" saveData="1">
    <webPr sourceData="1" parsePre="1" consecutive="1" xl2000="1" url="http://cf.umassadmin.net/crosswalk/GetCFData4PA.cfm?BU=UMWOR&amp;AcctCode=W102836"/>
  </connection>
  <connection id="571" name="Connection537" type="4" refreshedVersion="2" background="1" saveData="1">
    <webPr sourceData="1" parsePre="1" consecutive="1" xl2000="1" url="http://cf.umassadmin.net/crosswalk/GetCFData4PA.cfm?BU=UMWOR&amp;AcctCode=W102836"/>
  </connection>
  <connection id="572" name="Connection538" type="4" refreshedVersion="2" background="1" saveData="1">
    <webPr sourceData="1" parsePre="1" consecutive="1" xl2000="1" url="http://cf.umassadmin.net/crosswalk/GetCFData4PA.cfm?BU=UMWOR&amp;AcctCode=W102836"/>
  </connection>
  <connection id="573" name="Connection539" type="4" refreshedVersion="2" background="1" saveData="1">
    <webPr sourceData="1" parsePre="1" consecutive="1" xl2000="1" url="http://cf.umassadmin.net/crosswalk/GetCFData4PA.cfm?BU=UMWOR&amp;AcctCode=W102836"/>
  </connection>
  <connection id="574" name="Connection54" type="4" refreshedVersion="3" background="1" saveData="1">
    <webPr sourceData="1" parsePre="1" consecutive="1" xl2000="1" url="http://cf.umassadmin.net/finance/crosswalk/GetCFData4PA2.cfm?BU=0&amp;SpeedKey=0"/>
  </connection>
  <connection id="575" name="Connection540" type="4" refreshedVersion="2" background="1" saveData="1">
    <webPr sourceData="1" parsePre="1" consecutive="1" xl2000="1" url="http://cf.umassadmin.net/crosswalk/GetCFData4PA.cfm?BU=UMWOR&amp;AcctCode=W102836"/>
  </connection>
  <connection id="576" name="Connection541" type="4" refreshedVersion="2" background="1" saveData="1">
    <webPr sourceData="1" parsePre="1" consecutive="1" xl2000="1" url="http://cf.umassadmin.net/crosswalk/GetCFData4PA.cfm?BU=UMWOR&amp;AcctCode=W102836"/>
  </connection>
  <connection id="577" name="Connection542" type="4" refreshedVersion="2" background="1" saveData="1">
    <webPr sourceData="1" parsePre="1" consecutive="1" xl2000="1" url="http://cf.umassadmin.net/crosswalk/GetCFData4PA.cfm?BU=UMWOR&amp;AcctCode=W102836"/>
  </connection>
  <connection id="578" name="Connection543" type="4" refreshedVersion="2" background="1" saveData="1">
    <webPr sourceData="1" parsePre="1" consecutive="1" xl2000="1" url="http://cf.umassadmin.net/crosswalk/GetCFData4PA.cfm?BU=UMWOR&amp;AcctCode=W102836"/>
  </connection>
  <connection id="579" name="Connection544" type="4" refreshedVersion="2" background="1" saveData="1">
    <webPr sourceData="1" parsePre="1" consecutive="1" xl2000="1" url="http://cf.umassadmin.net/crosswalk/GetCFData4PA.cfm?BU=UMWOR&amp;AcctCode=W102836"/>
  </connection>
  <connection id="580" name="Connection545" type="4" refreshedVersion="2" background="1" saveData="1">
    <webPr sourceData="1" parsePre="1" consecutive="1" xl2000="1" url="http://cf.umassadmin.net/crosswalk/GetCFData4PA.cfm?BU=UMWOR&amp;AcctCode=W102836"/>
  </connection>
  <connection id="581" name="Connection546" type="4" refreshedVersion="2" background="1" saveData="1">
    <webPr sourceData="1" parsePre="1" consecutive="1" xl2000="1" url="http://cf.umassadmin.net/crosswalk/GetCFData4PA.cfm?BU=UMWOR&amp;AcctCode=W102836"/>
  </connection>
  <connection id="582" name="Connection547" type="4" refreshedVersion="2" background="1" saveData="1">
    <webPr sourceData="1" parsePre="1" consecutive="1" xl2000="1" url="http://cf.umassadmin.net/crosswalk/GetCFData4PA.cfm?BU=UMWOR&amp;AcctCode=W102836"/>
  </connection>
  <connection id="583" name="Connection548" type="4" refreshedVersion="2" background="1" saveData="1">
    <webPr sourceData="1" parsePre="1" consecutive="1" xl2000="1" url="http://cf.umassadmin.net/crosswalk/GetCFData4PA.cfm?BU=UMWOR&amp;AcctCode=W102836"/>
  </connection>
  <connection id="584" name="Connection549" type="4" refreshedVersion="2" background="1" saveData="1">
    <webPr sourceData="1" parsePre="1" consecutive="1" xl2000="1" url="http://cf.umassadmin.net/crosswalk/GetCFData4PA.cfm?BU=UMWOR&amp;AcctCode=W102836"/>
  </connection>
  <connection id="585" name="Connection55" type="4" refreshedVersion="3" background="1" saveData="1">
    <webPr sourceData="1" parsePre="1" consecutive="1" xl2000="1" url="http://cf.umassadmin.net/finance/crosswalk/GetCFData4PA2.cfm?BU=0&amp;SpeedKey=0"/>
  </connection>
  <connection id="586" name="Connection550" type="4" refreshedVersion="2" background="1" saveData="1">
    <webPr sourceData="1" parsePre="1" consecutive="1" xl2000="1" url="http://cf.umassadmin.net/crosswalk/GetCFData4PA.cfm?BU=UMWOR&amp;AcctCode=W102836"/>
  </connection>
  <connection id="587" name="Connection551" type="4" refreshedVersion="2" background="1" saveData="1">
    <webPr sourceData="1" parsePre="1" consecutive="1" xl2000="1" url="http://cf.umassadmin.net/crosswalk/GetCFData4PA.cfm?BU=UMWOR&amp;AcctCode=W102836"/>
  </connection>
  <connection id="588" name="Connection552" type="4" refreshedVersion="2" background="1" saveData="1">
    <webPr sourceData="1" parsePre="1" consecutive="1" xl2000="1" url="http://cf.umassadmin.net/crosswalk/GetCFData4PA.cfm?BU=UMWOR&amp;AcctCode=W102836"/>
  </connection>
  <connection id="589" name="Connection553" type="4" refreshedVersion="2" background="1" saveData="1">
    <webPr sourceData="1" parsePre="1" consecutive="1" xl2000="1" url="http://cf.umassadmin.net/crosswalk/GetCFData4PA.cfm?BU=UMWOR&amp;AcctCode=W102836"/>
  </connection>
  <connection id="590" name="Connection554" type="4" refreshedVersion="2" background="1" saveData="1">
    <webPr sourceData="1" parsePre="1" consecutive="1" xl2000="1" url="http://cf.umassadmin.net/crosswalk/GetCFData4PA.cfm?BU=UMWOR&amp;AcctCode=W102836"/>
  </connection>
  <connection id="591" name="Connection555" type="4" refreshedVersion="2" background="1" saveData="1">
    <webPr sourceData="1" parsePre="1" consecutive="1" xl2000="1" url="http://cf.umassadmin.net/crosswalk/GetCFData4PA.cfm?BU=UMWOR&amp;AcctCode=W102836"/>
  </connection>
  <connection id="592" name="Connection556" type="4" refreshedVersion="2" background="1" saveData="1">
    <webPr sourceData="1" parsePre="1" consecutive="1" xl2000="1" url="http://cf.umassadmin.net/crosswalk/GetCFData4PA.cfm?BU=UMWOR&amp;AcctCode=W102836"/>
  </connection>
  <connection id="593" name="Connection557" type="4" refreshedVersion="2" background="1" saveData="1">
    <webPr sourceData="1" parsePre="1" consecutive="1" xl2000="1" url="http://cf.umassadmin.net/crosswalk/GetCFData4PA.cfm?BU=UMWOR&amp;AcctCode=W102836"/>
  </connection>
  <connection id="594" name="Connection558" type="4" refreshedVersion="2" background="1" saveData="1">
    <webPr sourceData="1" parsePre="1" consecutive="1" xl2000="1" url="http://cf.umassadmin.net/crosswalk/GetCFData4PA.cfm?BU=UMWOR&amp;AcctCode=W102836"/>
  </connection>
  <connection id="595" name="Connection559" type="4" refreshedVersion="2" background="1" saveData="1">
    <webPr sourceData="1" parsePre="1" consecutive="1" xl2000="1" url="http://cf.umassadmin.net/crosswalk/GetCFData4PA.cfm?BU=UMWOR&amp;AcctCode=W102836"/>
  </connection>
  <connection id="596" name="Connection56" type="4" refreshedVersion="2" background="1" saveData="1">
    <webPr sourceData="1" parsePre="1" consecutive="1" xl2000="1" url="http://cf.umassadmin.net/finance/crosswalk/GetCFData4PA.cfm?BU=0&amp;AcctCode=0"/>
  </connection>
  <connection id="597" name="Connection560" type="4" refreshedVersion="2" background="1" saveData="1">
    <webPr sourceData="1" parsePre="1" consecutive="1" xl2000="1" url="http://cf.umassadmin.net/crosswalk/GetCFData4PA.cfm?BU=UMWOR&amp;AcctCode=W102836"/>
  </connection>
  <connection id="598" name="Connection561" type="4" refreshedVersion="2" background="1" saveData="1">
    <webPr sourceData="1" parsePre="1" consecutive="1" xl2000="1" url="http://cf.umassadmin.net/crosswalk/GetCFData4PA.cfm?BU=UMWOR&amp;AcctCode=W102836"/>
  </connection>
  <connection id="599" name="Connection562" type="4" refreshedVersion="2" background="1" saveData="1">
    <webPr sourceData="1" parsePre="1" consecutive="1" xl2000="1" url="http://cf.umassadmin.net/crosswalk/GetCFData4PA.cfm?BU=UMWOR&amp;AcctCode=W102836"/>
  </connection>
  <connection id="600" name="Connection563" type="4" refreshedVersion="2" background="1" saveData="1">
    <webPr sourceData="1" parsePre="1" consecutive="1" xl2000="1" url="http://cf.umassadmin.net/crosswalk/GetCFData4PA.cfm?BU=UMWOR&amp;AcctCode=W102836"/>
  </connection>
  <connection id="601" name="Connection564" type="4" refreshedVersion="2" background="1" saveData="1">
    <webPr sourceData="1" parsePre="1" consecutive="1" xl2000="1" url="http://cf.umassadmin.net/crosswalk/GetCFData4PA.cfm?BU=UMWOR&amp;AcctCode=W102836"/>
  </connection>
  <connection id="602" name="Connection565" type="4" refreshedVersion="2" background="1" saveData="1">
    <webPr sourceData="1" parsePre="1" consecutive="1" xl2000="1" url="http://cf.umassadmin.net/crosswalk/GetCFData4PA.cfm?BU=UMWOR&amp;AcctCode=W102836"/>
  </connection>
  <connection id="603" name="Connection566" type="4" refreshedVersion="2" background="1" saveData="1">
    <webPr sourceData="1" parsePre="1" consecutive="1" xl2000="1" url="http://cf.umassadmin.net/crosswalk/GetCFData4PA.cfm?BU=UMWOR&amp;AcctCode=W102836"/>
  </connection>
  <connection id="604" name="Connection567" type="4" refreshedVersion="2" background="1" saveData="1">
    <webPr sourceData="1" parsePre="1" consecutive="1" xl2000="1" url="http://cf.umassadmin.net/crosswalk/GetCFData4PA.cfm?BU=UMWOR&amp;AcctCode=W102836"/>
  </connection>
  <connection id="605" name="Connection568" type="4" refreshedVersion="2" background="1" saveData="1">
    <webPr sourceData="1" parsePre="1" consecutive="1" xl2000="1" url="http://cf.umassadmin.net/crosswalk/GetCFData4PA.cfm?BU=UMWOR&amp;AcctCode=W102836"/>
  </connection>
  <connection id="606" name="Connection569" type="4" refreshedVersion="2" background="1" saveData="1">
    <webPr sourceData="1" parsePre="1" consecutive="1" xl2000="1" url="http://cf.umassadmin.net/crosswalk/GetCFData4PA.cfm?BU=UMWOR&amp;AcctCode=W102836"/>
  </connection>
  <connection id="607" name="Connection57" type="4" refreshedVersion="2" background="1" saveData="1">
    <webPr sourceData="1" parsePre="1" consecutive="1" xl2000="1" url="http://cf.umassadmin.net/finance/crosswalk/GetCFData4PA.cfm?BU=0&amp;AcctCode=0"/>
  </connection>
  <connection id="608" name="Connection570" type="4" refreshedVersion="2" background="1" saveData="1">
    <webPr sourceData="1" parsePre="1" consecutive="1" xl2000="1" url="http://cf.umassadmin.net/crosswalk/GetCFData4PA.cfm?BU=UMWOR&amp;AcctCode=W102836"/>
  </connection>
  <connection id="609" name="Connection571" type="4" refreshedVersion="2" background="1" saveData="1">
    <webPr sourceData="1" parsePre="1" consecutive="1" xl2000="1" url="http://cf.umassadmin.net/crosswalk/GetCFData4PA.cfm?BU=UMWOR&amp;AcctCode=W102836"/>
  </connection>
  <connection id="610" name="Connection572" type="4" refreshedVersion="2" background="1" saveData="1">
    <webPr sourceData="1" parsePre="1" consecutive="1" xl2000="1" url="http://cf.umassadmin.net/crosswalk/GetCFData4PA.cfm?BU=UMWOR&amp;AcctCode=W102836"/>
  </connection>
  <connection id="611" name="Connection573" type="4" refreshedVersion="2" background="1" saveData="1">
    <webPr sourceData="1" parsePre="1" consecutive="1" xl2000="1" url="http://cf.umassadmin.net/crosswalk/GetCFData4PA.cfm?BU=UMWOR&amp;AcctCode=W102836"/>
  </connection>
  <connection id="612" name="Connection574" type="4" refreshedVersion="2" background="1" saveData="1">
    <webPr sourceData="1" parsePre="1" consecutive="1" xl2000="1" url="http://cf.umassadmin.net/crosswalk/GetCFData4PA.cfm?BU=UMWOR&amp;AcctCode=W102836"/>
  </connection>
  <connection id="613" name="Connection575" type="4" refreshedVersion="2" background="1" saveData="1">
    <webPr sourceData="1" parsePre="1" consecutive="1" xl2000="1" url="http://cf.umassadmin.net/crosswalk/GetCFData4PA.cfm?BU=UMWOR&amp;AcctCode=W102836"/>
  </connection>
  <connection id="614" name="Connection576" type="4" refreshedVersion="2" background="1" saveData="1">
    <webPr sourceData="1" parsePre="1" consecutive="1" xl2000="1" url="http://cf.umassadmin.net/crosswalk/GetCFData4PA.cfm?BU=UMWOR&amp;AcctCode=W102836"/>
  </connection>
  <connection id="615" name="Connection577" type="4" refreshedVersion="2" background="1" saveData="1">
    <webPr sourceData="1" parsePre="1" consecutive="1" xl2000="1" url="http://cf.umassadmin.net/crosswalk/GetCFData4PA.cfm?BU=UMWOR&amp;AcctCode=W102836"/>
  </connection>
  <connection id="616" name="Connection578" type="4" refreshedVersion="2" background="1" saveData="1">
    <webPr sourceData="1" parsePre="1" consecutive="1" xl2000="1" url="http://cf.umassadmin.net/crosswalk/GetCFData4PA.cfm?BU=UMWOR&amp;AcctCode=W102836"/>
  </connection>
  <connection id="617" name="Connection579" type="4" refreshedVersion="2" background="1" saveData="1">
    <webPr sourceData="1" parsePre="1" consecutive="1" xl2000="1" url="http://cf.umassadmin.net/crosswalk/GetCFData4PA.cfm?BU=UMWOR&amp;AcctCode=W102836"/>
  </connection>
  <connection id="618" name="Connection58" type="4" refreshedVersion="2" background="1" saveData="1">
    <webPr sourceData="1" parsePre="1" consecutive="1" xl2000="1" url="http://cf.umassadmin.net/finance/crosswalk/GetCFData4PA.cfm?BU=0&amp;AcctCode=0"/>
  </connection>
  <connection id="619" name="Connection580" type="4" refreshedVersion="2" background="1" saveData="1">
    <webPr sourceData="1" parsePre="1" consecutive="1" xl2000="1" url="http://cf.umassadmin.net/crosswalk/GetCFData4PA.cfm?BU=0&amp;AcctCode=0"/>
  </connection>
  <connection id="620" name="Connection581" type="4" refreshedVersion="3" background="1" saveData="1">
    <webPr sourceData="1" parsePre="1" consecutive="1" xl2000="1" url="http://cf.umassadmin.net/finance/crosswalk/GetCFData4PA2.cfm?BU=0&amp;SpeedKey=0"/>
  </connection>
  <connection id="621" name="Connection582" type="4" refreshedVersion="4" background="1" saveData="1">
    <webPr sourceData="1" parsePre="1" consecutive="1" xl2000="1" url="http://cf.umassadmin.net/finance/crosswalk/GetCFData4PA2.cfm?BU=UMAMH&amp;SpeedKey=100001"/>
  </connection>
  <connection id="622" name="Connection583" type="4" refreshedVersion="2" background="1" saveData="1">
    <webPr sourceData="1" parsePre="1" consecutive="1" xl2000="1" url="http://cf.umassadmin.net/finance/crosswalk/GetCFData4PA2.cfm?BU=UMWOR&amp;SpeedKey=0"/>
  </connection>
  <connection id="623" name="Connection584" type="4" refreshedVersion="3" background="1" saveData="1">
    <webPr sourceData="1" parsePre="1" consecutive="1" xl2000="1" url="http://cf.umassadmin.net/finance/crosswalk/GetCFData4PA2.cfm?BU=0&amp;SpeedKey=0"/>
  </connection>
  <connection id="624" name="Connection585" type="4" refreshedVersion="3" background="1" saveData="1">
    <webPr sourceData="1" parsePre="1" consecutive="1" xl2000="1" url="http://cf.umassadmin.net/finance/crosswalk/GetCFData4PA2.cfm?BU=0&amp;SpeedKey=0"/>
  </connection>
  <connection id="625" name="Connection586" type="4" refreshedVersion="3" background="1" saveData="1">
    <webPr sourceData="1" parsePre="1" consecutive="1" xl2000="1" url="http://cf.umassadmin.net/finance/crosswalk/GetCFData4PA2.cfm?BU=0&amp;SpeedKey=0"/>
  </connection>
  <connection id="626" name="Connection587" type="4" refreshedVersion="3" background="1" saveData="1">
    <webPr sourceData="1" parsePre="1" consecutive="1" xl2000="1" url="http://cf.umassadmin.net/finance/crosswalk/GetCFData4PA2.cfm?BU=0&amp;SpeedKey=0"/>
  </connection>
  <connection id="627" name="Connection588" type="4" refreshedVersion="2" background="1" saveData="1">
    <webPr sourceData="1" parsePre="1" consecutive="1" xl2000="1" url="http://cf.umassadmin.net/finance/crosswalk/GetCFData4PA2.cfm?BU=0&amp;SpeedKey=0"/>
  </connection>
  <connection id="628" name="Connection589" type="4" refreshedVersion="2" background="1" saveData="1">
    <webPr sourceData="1" parsePre="1" consecutive="1" xl2000="1" url="http://cf.umassadmin.net/finance/crosswalk/GetCFData4PA2.cfm?BU=0&amp;SpeedKey=0"/>
  </connection>
  <connection id="629" name="Connection59" type="4" refreshedVersion="2" background="1" saveData="1">
    <webPr sourceData="1" parsePre="1" consecutive="1" xl2000="1" url="http://cf.umassadmin.net/finance/crosswalk/GetCFData4PA.cfm?BU=0&amp;AcctCode=0"/>
  </connection>
  <connection id="630" name="Connection590" type="4" refreshedVersion="3" background="1" saveData="1">
    <webPr sourceData="1" parsePre="1" consecutive="1" xl2000="1" url="http://cf.umassadmin.net/finance/crosswalk/GetCFData4PA2.cfm?BU=0&amp;SpeedKey=0"/>
  </connection>
  <connection id="631" name="Connection591" type="4" refreshedVersion="3" background="1" saveData="1">
    <webPr sourceData="1" parsePre="1" consecutive="1" xl2000="1" url="http://cf.umassadmin.net/finance/crosswalk/GetCFData4PA2.cfm?BU=0&amp;SpeedKey=0"/>
  </connection>
  <connection id="632" name="Connection592" type="4" refreshedVersion="3" background="1" saveData="1">
    <webPr sourceData="1" parsePre="1" consecutive="1" xl2000="1" url="http://cf.umassadmin.net/finance/crosswalk/GetCFData4PA2.cfm?BU=0&amp;SpeedKey=0"/>
  </connection>
  <connection id="633" name="Connection593" type="4" refreshedVersion="2" background="1" saveData="1">
    <webPr sourceData="1" parsePre="1" consecutive="1" xl2000="1" url="http://cf.umassadmin.net/finance/crosswalk/GetCFData4PA2.cfm?BU=0&amp;SpeedKey=0"/>
  </connection>
  <connection id="634" name="Connection594" type="4" refreshedVersion="3" background="1" saveData="1">
    <webPr sourceData="1" parsePre="1" consecutive="1" xl2000="1" url="http://cf.umassadmin.net/finance/crosswalk/GetCFData4PA2.cfm?BU=0&amp;SpeedKey=0"/>
  </connection>
  <connection id="635" name="Connection595" type="4" refreshedVersion="3" background="1" saveData="1">
    <webPr sourceData="1" parsePre="1" consecutive="1" xl2000="1" url="http://cf.umassadmin.net/finance/crosswalk/GetCFData4PA2.cfm?BU=0&amp;SpeedKey=0"/>
  </connection>
  <connection id="636" name="Connection596" type="4" refreshedVersion="2" background="1" saveData="1">
    <webPr sourceData="1" parsePre="1" consecutive="1" xl2000="1" url="http://cf.umassadmin.net/finance/crosswalk/GetCFData4PA2.cfm?BU=0&amp;SpeedKey=0"/>
  </connection>
  <connection id="637" name="Connection597" type="4" refreshedVersion="2" background="1" saveData="1">
    <webPr sourceData="1" parsePre="1" consecutive="1" xl2000="1" url="http://cf.umassadmin.net/finance/crosswalk/GetCFData4PA2.cfm?BU=0&amp;SpeedKey=0"/>
  </connection>
  <connection id="638" name="Connection598" type="4" refreshedVersion="3" background="1" saveData="1">
    <webPr sourceData="1" parsePre="1" consecutive="1" xl2000="1" url="http://cf.umassadmin.net/finance/crosswalk/GetCFData4PA2.cfm?BU=0&amp;SpeedKey=0"/>
  </connection>
  <connection id="639" name="Connection599" type="4" refreshedVersion="2" background="1" saveData="1">
    <webPr sourceData="1" parsePre="1" consecutive="1" xl2000="1" url="http://cf.umassadmin.net/finance/crosswalk/GetCFData4PA2.cfm?BU=0&amp;SpeedKey=0"/>
  </connection>
  <connection id="640" name="Connection6" type="4" refreshedVersion="2" background="1" saveData="1">
    <webPr sourceData="1" parsePre="1" consecutive="1" xl2000="1" url="http://cf.umassadmin.net/finance/crosswalk/GetCFData4PA.cfm?BU=0&amp;AcctCode=0"/>
  </connection>
  <connection id="641" name="Connection60" type="4" refreshedVersion="3" background="1" saveData="1">
    <webPr sourceData="1" parsePre="1" consecutive="1" xl2000="1" url="http://cf.umassadmin.net/finance/crosswalk/GetCFData4PA2.cfm?BU=0&amp;SpeedKey=0"/>
  </connection>
  <connection id="642" name="Connection600" type="4" refreshedVersion="2" background="1" saveData="1">
    <webPr sourceData="1" parsePre="1" consecutive="1" xl2000="1" url="http://cf.umassadmin.net/finance/crosswalk/GetCFData4PA2.cfm?BU=0&amp;SpeedKey=0"/>
  </connection>
  <connection id="643" name="Connection601" type="4" refreshedVersion="3" background="1" saveData="1">
    <webPr sourceData="1" parsePre="1" consecutive="1" xl2000="1" url="http://cf.umassadmin.net/finance/crosswalk/GetCFData4PA2.cfm?BU=0&amp;SpeedKey=0"/>
  </connection>
  <connection id="644" name="Connection602" type="4" refreshedVersion="2" background="1" saveData="1">
    <webPr sourceData="1" parsePre="1" consecutive="1" xl2000="1" url="http://cf.umassadmin.net/finance/crosswalk/GetCFData4PA2.cfm?BU=0&amp;SpeedKey=0"/>
  </connection>
  <connection id="645" name="Connection603" type="4" refreshedVersion="2" background="1" saveData="1">
    <webPr sourceData="1" parsePre="1" consecutive="1" xl2000="1" url="http://cf.umassadmin.net/finance/crosswalk/GetCFData4PA2.cfm?BU=0&amp;SpeedKey=0"/>
  </connection>
  <connection id="646" name="Connection604" type="4" refreshedVersion="3" background="1" saveData="1">
    <webPr sourceData="1" parsePre="1" consecutive="1" xl2000="1" url="http://cf.umassadmin.net/finance/crosswalk/GetCFData4PA2.cfm?BU=0&amp;SpeedKey=0"/>
  </connection>
  <connection id="647" name="Connection605" type="4" refreshedVersion="2" background="1" saveData="1">
    <webPr sourceData="1" parsePre="1" consecutive="1" xl2000="1" url="http://cf.umassadmin.net/finance/crosswalk/GetCFData4PA2.cfm?BU=0&amp;SpeedKey=0"/>
  </connection>
  <connection id="648" name="Connection606" type="4" refreshedVersion="2" background="1" saveData="1">
    <webPr sourceData="1" parsePre="1" consecutive="1" xl2000="1" url="http://cf.umassadmin.net/finance/crosswalk/GetCFData4PA2.cfm?BU=0&amp;SpeedKey=0"/>
  </connection>
  <connection id="649" name="Connection607" type="4" refreshedVersion="2" background="1" saveData="1">
    <webPr sourceData="1" parsePre="1" consecutive="1" xl2000="1" url="http://cf.umassadmin.net/finance/crosswalk/GetCFData4PA2.cfm?BU=0&amp;SpeedKey=0"/>
  </connection>
  <connection id="650" name="Connection608" type="4" refreshedVersion="2" background="1" saveData="1">
    <webPr sourceData="1" parsePre="1" consecutive="1" xl2000="1" url="http://cf.umassadmin.net/finance/crosswalk/GetCFData4PA2.cfm?BU=0&amp;SpeedKey=0"/>
  </connection>
  <connection id="651" name="Connection609" type="4" refreshedVersion="3" background="1" saveData="1">
    <webPr sourceData="1" parsePre="1" consecutive="1" xl2000="1" url="http://cf.umassadmin.net/finance/crosswalk/GetCFData4PA2.cfm?BU=0&amp;SpeedKey=0"/>
  </connection>
  <connection id="652" name="Connection61" type="4" refreshedVersion="3" background="1" saveData="1">
    <webPr sourceData="1" parsePre="1" consecutive="1" xl2000="1" url="http://cf.umassadmin.net/finance/crosswalk/GetCFData4PA2.cfm?BU=0&amp;SpeedKey=0"/>
  </connection>
  <connection id="653" name="Connection610" type="4" refreshedVersion="2" background="1" saveData="1">
    <webPr sourceData="1" parsePre="1" consecutive="1" xl2000="1" url="http://cf.umassadmin.net/finance/crosswalk/GetCFData4PA2.cfm?BU=0&amp;SpeedKey=0"/>
  </connection>
  <connection id="654" name="Connection611" type="4" refreshedVersion="2" background="1" saveData="1">
    <webPr sourceData="1" parsePre="1" consecutive="1" xl2000="1" url="http://cf.umassadmin.net/finance/crosswalk/GetCFData4PA2.cfm?BU=0&amp;SpeedKey=0"/>
  </connection>
  <connection id="655" name="Connection612" type="4" refreshedVersion="2" background="1" saveData="1">
    <webPr sourceData="1" parsePre="1" consecutive="1" xl2000="1" url="http://cf.umassadmin.net/finance/crosswalk/GetCFData4PA2.cfm?BU=0&amp;SpeedKey=0"/>
  </connection>
  <connection id="656" name="Connection613" type="4" refreshedVersion="3" background="1" saveData="1">
    <webPr sourceData="1" parsePre="1" consecutive="1" xl2000="1" url="http://cf.umassadmin.net/finance/crosswalk/GetCFData4PA2.cfm?BU=0&amp;SpeedKey=0"/>
  </connection>
  <connection id="657" name="Connection614" type="4" refreshedVersion="2" background="1" saveData="1">
    <webPr sourceData="1" parsePre="1" consecutive="1" xl2000="1" url="http://cf.umassadmin.net/finance/crosswalk/GetCFData4PA2.cfm?BU=0&amp;SpeedKey=0"/>
  </connection>
  <connection id="658" name="Connection615" type="4" refreshedVersion="2" background="1" saveData="1">
    <webPr sourceData="1" parsePre="1" consecutive="1" xl2000="1" url="http://cf.umassadmin.net/finance/crosswalk/GetCFData4PA2.cfm?BU=0&amp;SpeedKey=0"/>
  </connection>
  <connection id="659" name="Connection616" type="4" refreshedVersion="2" background="1" saveData="1">
    <webPr sourceData="1" parsePre="1" consecutive="1" xl2000="1" url="http://cf.umassadmin.net/finance/crosswalk/GetCFData4PA2.cfm?BU=0&amp;SpeedKey=0"/>
  </connection>
  <connection id="660" name="Connection617" type="4" refreshedVersion="2" background="1" saveData="1">
    <webPr sourceData="1" parsePre="1" consecutive="1" xl2000="1" url="http://cf.umassadmin.net/finance/crosswalk/GetCFData4PA2.cfm?BU=0&amp;SpeedKey=0"/>
  </connection>
  <connection id="661" name="Connection618" type="4" refreshedVersion="2" background="1" saveData="1">
    <webPr sourceData="1" parsePre="1" consecutive="1" xl2000="1" url="http://cf.umassadmin.net/finance/crosswalk/GetCFData4PA2.cfm?BU=0&amp;SpeedKey=0"/>
  </connection>
  <connection id="662" name="Connection619" type="4" refreshedVersion="2" background="1" saveData="1">
    <webPr sourceData="1" parsePre="1" consecutive="1" xl2000="1" url="http://cf.umassadmin.net/finance/crosswalk/GetCFData4PA2.cfm?BU=0&amp;SpeedKey=0"/>
  </connection>
  <connection id="663" name="Connection62" type="4" refreshedVersion="3" background="1" saveData="1">
    <webPr sourceData="1" parsePre="1" consecutive="1" xl2000="1" url="http://cf.umassadmin.net/finance/crosswalk/GetCFData4PA2.cfm?BU=0&amp;SpeedKey=0"/>
  </connection>
  <connection id="664" name="Connection620" type="4" refreshedVersion="3" background="1" saveData="1">
    <webPr sourceData="1" parsePre="1" consecutive="1" xl2000="1" url="http://cf.umassadmin.net/finance/crosswalk/GetCFData4PA2.cfm?BU=0&amp;SpeedKey=0"/>
  </connection>
  <connection id="665" name="Connection621" type="4" refreshedVersion="2" background="1" saveData="1">
    <webPr sourceData="1" parsePre="1" consecutive="1" xl2000="1" url="http://cf.umassadmin.net/finance/crosswalk/GetCFData4PA2.cfm?BU=0&amp;SpeedKey=0"/>
  </connection>
  <connection id="666" name="Connection622" type="4" refreshedVersion="2" background="1" saveData="1">
    <webPr sourceData="1" parsePre="1" consecutive="1" xl2000="1" url="http://cf.umassadmin.net/finance/crosswalk/GetCFData4PA2.cfm?BU=0&amp;SpeedKey=0"/>
  </connection>
  <connection id="667" name="Connection623" type="4" refreshedVersion="3" background="1" saveData="1">
    <webPr sourceData="1" parsePre="1" consecutive="1" xl2000="1" url="http://cf.umassadmin.net/finance/crosswalk/GetCFData4PA2.cfm?BU=0&amp;SpeedKey=0"/>
  </connection>
  <connection id="668" name="Connection624" type="4" refreshedVersion="3" background="1" saveData="1">
    <webPr sourceData="1" parsePre="1" consecutive="1" xl2000="1" url="http://cf.umassadmin.net/finance/crosswalk/GetCFData4PA2.cfm?BU=0&amp;SpeedKey=0"/>
  </connection>
  <connection id="669" name="Connection625" type="4" refreshedVersion="3" background="1" saveData="1">
    <webPr sourceData="1" parsePre="1" consecutive="1" xl2000="1" url="http://cf.umassadmin.net/finance/crosswalk/GetCFData4PA2.cfm?BU=0&amp;SpeedKey=0"/>
  </connection>
  <connection id="670" name="Connection626" type="4" refreshedVersion="2" background="1" saveData="1">
    <webPr sourceData="1" parsePre="1" consecutive="1" xl2000="1" url="http://cf.umassadmin.net/finance/crosswalk/GetCFData4PA2.cfm?BU=0&amp;SpeedKey=0"/>
  </connection>
  <connection id="671" name="Connection627" type="4" refreshedVersion="2" background="1" saveData="1">
    <webPr sourceData="1" parsePre="1" consecutive="1" xl2000="1" url="http://cf.umassadmin.net/finance/crosswalk/GetCFData4PA2.cfm?BU=0&amp;SpeedKey=0"/>
  </connection>
  <connection id="672" name="Connection628" type="4" refreshedVersion="3" background="1" saveData="1">
    <webPr sourceData="1" parsePre="1" consecutive="1" xl2000="1" url="http://cf.umassadmin.net/finance/crosswalk/GetCFData4PA2.cfm?BU=0&amp;SpeedKey=0"/>
  </connection>
  <connection id="673" name="Connection629" type="4" refreshedVersion="2" background="1" saveData="1">
    <webPr sourceData="1" parsePre="1" consecutive="1" xl2000="1" url="http://cf.umassadmin.net/finance/crosswalk/GetCFData4PA2.cfm?BU=0&amp;SpeedKey=0"/>
  </connection>
  <connection id="674" name="Connection63" type="4" refreshedVersion="3" background="1" saveData="1">
    <webPr sourceData="1" parsePre="1" consecutive="1" xl2000="1" url="http://cf.umassadmin.net/finance/crosswalk/GetCFData4PA2.cfm?BU=0&amp;SpeedKey=0"/>
  </connection>
  <connection id="675" name="Connection630" type="4" refreshedVersion="3" background="1" saveData="1">
    <webPr sourceData="1" parsePre="1" consecutive="1" xl2000="1" url="http://cf.umassadmin.net/finance/crosswalk/GetCFData4PA2.cfm?BU=0&amp;SpeedKey=0"/>
  </connection>
  <connection id="676" name="Connection631" type="4" refreshedVersion="2" background="1" saveData="1">
    <webPr sourceData="1" parsePre="1" consecutive="1" xl2000="1" url="http://cf.umassadmin.net/finance/crosswalk/GetCFData4PA2.cfm?BU=0&amp;SpeedKey=0"/>
  </connection>
  <connection id="677" name="Connection632" type="4" refreshedVersion="3" background="1" saveData="1">
    <webPr sourceData="1" parsePre="1" consecutive="1" xl2000="1" url="http://cf.umassadmin.net/finance/crosswalk/GetCFData4PA2.cfm?BU=0&amp;SpeedKey=0"/>
  </connection>
  <connection id="678" name="Connection633" type="4" refreshedVersion="2" background="1" saveData="1">
    <webPr sourceData="1" parsePre="1" consecutive="1" xl2000="1" url="http://cf.umassadmin.net/finance/crosswalk/GetCFData4PA2.cfm?BU=0&amp;SpeedKey=0"/>
  </connection>
  <connection id="679" name="Connection634" type="4" refreshedVersion="3" background="1" saveData="1">
    <webPr sourceData="1" parsePre="1" consecutive="1" xl2000="1" url="http://cf.umassadmin.net/finance/crosswalk/GetCFData4PA2.cfm?BU=0&amp;SpeedKey=0"/>
  </connection>
  <connection id="680" name="Connection635" type="4" refreshedVersion="2" background="1" saveData="1">
    <webPr sourceData="1" parsePre="1" consecutive="1" xl2000="1" url="http://cf.umassadmin.net/finance/crosswalk/GetCFData4PA2.cfm?BU=0&amp;SpeedKey=0"/>
  </connection>
  <connection id="681" name="Connection636" type="4" refreshedVersion="2" background="1" saveData="1">
    <webPr sourceData="1" parsePre="1" consecutive="1" xl2000="1" url="http://cf.umassadmin.net/finance/crosswalk/GetCFData4PA2.cfm?BU=0&amp;SpeedKey=0"/>
  </connection>
  <connection id="682" name="Connection637" type="4" refreshedVersion="2" background="1" saveData="1">
    <webPr sourceData="1" parsePre="1" consecutive="1" xl2000="1" url="http://cf.umassadmin.net/finance/crosswalk/GetCFData4PA2.cfm?BU=0&amp;SpeedKey=0"/>
  </connection>
  <connection id="683" name="Connection638" type="4" refreshedVersion="2" background="1" saveData="1">
    <webPr sourceData="1" parsePre="1" consecutive="1" xl2000="1" url="http://cf.umassadmin.net/finance/crosswalk/GetCFData4PA2.cfm?BU=0&amp;SpeedKey=0"/>
  </connection>
  <connection id="684" name="Connection639" type="4" refreshedVersion="2" background="1" saveData="1">
    <webPr sourceData="1" parsePre="1" consecutive="1" xl2000="1" url="http://cf.umassadmin.net/finance/crosswalk/GetCFData4PA2.cfm?BU=0&amp;SpeedKey=0"/>
  </connection>
  <connection id="685" name="Connection64" type="4" refreshedVersion="3" background="1" saveData="1">
    <webPr sourceData="1" parsePre="1" consecutive="1" xl2000="1" url="http://cf.umassadmin.net/finance/crosswalk/GetCFData4PA2.cfm?BU=0&amp;SpeedKey=0"/>
  </connection>
  <connection id="686" name="Connection640" type="4" refreshedVersion="3" background="1" saveData="1">
    <webPr sourceData="1" parsePre="1" consecutive="1" xl2000="1" url="http://cf.umassadmin.net/finance/crosswalk/GetCFData4PA2.cfm?BU=0&amp;SpeedKey=0"/>
  </connection>
  <connection id="687" name="Connection641" type="4" refreshedVersion="3" background="1" saveData="1">
    <webPr sourceData="1" parsePre="1" consecutive="1" xl2000="1" url="http://cf.umassadmin.net/finance/crosswalk/GetCFData4PA2.cfm?BU=0&amp;SpeedKey=0"/>
  </connection>
  <connection id="688" name="Connection642" type="4" refreshedVersion="3" background="1" saveData="1">
    <webPr sourceData="1" parsePre="1" consecutive="1" xl2000="1" url="http://cf.umassadmin.net/finance/crosswalk/GetCFData4PA2.cfm?BU=0&amp;SpeedKey=0"/>
  </connection>
  <connection id="689" name="Connection643" type="4" refreshedVersion="2" background="1" saveData="1">
    <webPr sourceData="1" parsePre="1" consecutive="1" xl2000="1" url="http://cf.umassadmin.net/finance/crosswalk/GetCFData4PA2.cfm?BU=0&amp;SpeedKey=0"/>
  </connection>
  <connection id="690" name="Connection644" type="4" refreshedVersion="2" background="1" saveData="1">
    <webPr sourceData="1" parsePre="1" consecutive="1" xl2000="1" url="http://cf.umassadmin.net/finance/crosswalk/GetCFData4PA2.cfm?BU=0&amp;SpeedKey=0"/>
  </connection>
  <connection id="691" name="Connection645" type="4" refreshedVersion="3" background="1" saveData="1">
    <webPr sourceData="1" parsePre="1" consecutive="1" xl2000="1" url="http://cf.umassadmin.net/finance/crosswalk/GetCFData4PA2.cfm?BU=0&amp;SpeedKey=0"/>
  </connection>
  <connection id="692" name="Connection646" type="4" refreshedVersion="3" background="1" saveData="1">
    <webPr sourceData="1" parsePre="1" consecutive="1" xl2000="1" url="http://cf.umassadmin.net/finance/crosswalk/GetCFData4PA2.cfm?BU=0&amp;SpeedKey=0"/>
  </connection>
  <connection id="693" name="Connection647" type="4" refreshedVersion="3" background="1" saveData="1">
    <webPr sourceData="1" parsePre="1" consecutive="1" xl2000="1" url="http://cf.umassadmin.net/finance/crosswalk/GetCFData4PA2.cfm?BU=0&amp;SpeedKey=0"/>
  </connection>
  <connection id="694" name="Connection648" type="4" refreshedVersion="3" background="1" saveData="1">
    <webPr sourceData="1" parsePre="1" consecutive="1" xl2000="1" url="http://cf.umassadmin.net/finance/crosswalk/GetCFData4PA2.cfm?BU=0&amp;SpeedKey=0"/>
  </connection>
  <connection id="695" name="Connection649" type="4" refreshedVersion="2" background="1" saveData="1">
    <webPr sourceData="1" parsePre="1" consecutive="1" xl2000="1" url="http://cf.umassadmin.net/finance/crosswalk/GetCFData4PA2.cfm?BU=0&amp;SpeedKey=0"/>
  </connection>
  <connection id="696" name="Connection65" type="4" refreshedVersion="2" background="1" saveData="1">
    <webPr sourceData="1" parsePre="1" consecutive="1" xl2000="1" url="http://cf.umassadmin.net/finance/crosswalk/GetCFData4PA.cfm?BU=0&amp;AcctCode=0"/>
  </connection>
  <connection id="697" name="Connection650" type="4" refreshedVersion="2" background="1" saveData="1">
    <webPr sourceData="1" parsePre="1" consecutive="1" xl2000="1" url="http://cf.umassadmin.net/finance/crosswalk/GetCFData4PA2.cfm?BU=0&amp;SpeedKey=0"/>
  </connection>
  <connection id="698" name="Connection651" type="4" refreshedVersion="3" background="1" saveData="1">
    <webPr sourceData="1" parsePre="1" consecutive="1" xl2000="1" url="http://cf.umassadmin.net/finance/crosswalk/GetCFData4PA2.cfm?BU=0&amp;SpeedKey=0"/>
  </connection>
  <connection id="699" name="Connection652" type="4" refreshedVersion="2" background="1" saveData="1">
    <webPr sourceData="1" parsePre="1" consecutive="1" xl2000="1" url="http://cf.umassadmin.net/finance/crosswalk/GetCFData4PA2.cfm?BU=0&amp;SpeedKey=0"/>
  </connection>
  <connection id="700" name="Connection653" type="4" refreshedVersion="2" background="1" saveData="1">
    <webPr sourceData="1" parsePre="1" consecutive="1" xl2000="1" url="http://cf.umassadmin.net/finance/crosswalk/GetCFData4PA2.cfm?BU=0&amp;SpeedKey=0"/>
  </connection>
  <connection id="701" name="Connection654" type="4" refreshedVersion="2" background="1" saveData="1">
    <webPr sourceData="1" parsePre="1" consecutive="1" xl2000="1" url="http://cf.umassadmin.net/finance/crosswalk/GetCFData4PA2.cfm?BU=0&amp;SpeedKey=0"/>
  </connection>
  <connection id="702" name="Connection655" type="4" refreshedVersion="2" background="1" saveData="1">
    <webPr sourceData="1" parsePre="1" consecutive="1" xl2000="1" url="http://cf.umassadmin.net/finance/crosswalk/GetCFData4PA2.cfm?BU=0&amp;SpeedKey=0"/>
  </connection>
  <connection id="703" name="Connection656" type="4" refreshedVersion="3" background="1" saveData="1">
    <webPr sourceData="1" parsePre="1" consecutive="1" xl2000="1" url="http://cf.umassadmin.net/finance/crosswalk/GetCFData4PA2.cfm?BU=0&amp;SpeedKey=0"/>
  </connection>
  <connection id="704" name="Connection657" type="4" refreshedVersion="2" background="1" saveData="1">
    <webPr sourceData="1" parsePre="1" consecutive="1" xl2000="1" url="http://cf.umassadmin.net/finance/crosswalk/GetCFData4PA2.cfm?BU=0&amp;SpeedKey=0"/>
  </connection>
  <connection id="705" name="Connection658" type="4" refreshedVersion="3" background="1" saveData="1">
    <webPr sourceData="1" parsePre="1" consecutive="1" xl2000="1" url="http://cf.umassadmin.net/finance/crosswalk/GetCFData4PA2.cfm?BU=0&amp;SpeedKey=0"/>
  </connection>
  <connection id="706" name="Connection659" type="4" refreshedVersion="2" background="1" saveData="1">
    <webPr sourceData="1" parsePre="1" consecutive="1" xl2000="1" url="http://cf.umassadmin.net/finance/crosswalk/GetCFData4PA2.cfm?BU=0&amp;SpeedKey=0"/>
  </connection>
  <connection id="707" name="Connection66" type="4" refreshedVersion="3" background="1" saveData="1">
    <webPr sourceData="1" parsePre="1" consecutive="1" xl2000="1" url="http://cf.umassadmin.net/finance/crosswalk/GetCFData4PA2.cfm?BU=0&amp;SpeedKey=0"/>
  </connection>
  <connection id="708" name="Connection660" type="4" refreshedVersion="2" background="1" saveData="1">
    <webPr sourceData="1" parsePre="1" consecutive="1" xl2000="1" url="http://cf.umassadmin.net/finance/crosswalk/GetCFData4PA2.cfm?BU=0&amp;SpeedKey=0"/>
  </connection>
  <connection id="709" name="Connection661" type="4" refreshedVersion="3" background="1" saveData="1">
    <webPr sourceData="1" parsePre="1" consecutive="1" xl2000="1" url="http://cf.umassadmin.net/finance/crosswalk/GetCFData4PA2.cfm?BU=0&amp;SpeedKey=0"/>
  </connection>
  <connection id="710" name="Connection662" type="4" refreshedVersion="2" background="1" saveData="1">
    <webPr sourceData="1" parsePre="1" consecutive="1" xl2000="1" url="http://cf.umassadmin.net/finance/crosswalk/GetCFData4PA2.cfm?BU=0&amp;SpeedKey=0"/>
  </connection>
  <connection id="711" name="Connection663" type="4" refreshedVersion="3" background="1" saveData="1">
    <webPr sourceData="1" parsePre="1" consecutive="1" xl2000="1" url="http://cf.umassadmin.net/finance/crosswalk/GetCFData4PA2.cfm?BU=0&amp;SpeedKey=0"/>
  </connection>
  <connection id="712" name="Connection664" type="4" refreshedVersion="2" background="1" saveData="1">
    <webPr sourceData="1" parsePre="1" consecutive="1" xl2000="1" url="http://cf.umassadmin.net/finance/crosswalk/GetCFData4PA2.cfm?BU=0&amp;SpeedKey=0"/>
  </connection>
  <connection id="713" name="Connection665" type="4" refreshedVersion="3" background="1" saveData="1">
    <webPr sourceData="1" parsePre="1" consecutive="1" xl2000="1" url="http://cf.umassadmin.net/finance/crosswalk/GetCFData4PA2.cfm?BU=0&amp;SpeedKey=0"/>
  </connection>
  <connection id="714" name="Connection666" type="4" refreshedVersion="3" background="1" saveData="1">
    <webPr sourceData="1" parsePre="1" consecutive="1" xl2000="1" url="http://cf.umassadmin.net/finance/crosswalk/GetCFData4PA2.cfm?BU=0&amp;SpeedKey=0"/>
  </connection>
  <connection id="715" name="Connection667" type="4" refreshedVersion="3" background="1" saveData="1">
    <webPr sourceData="1" parsePre="1" consecutive="1" xl2000="1" url="http://cf.umassadmin.net/finance/crosswalk/GetCFData4PA2.cfm?BU=0&amp;SpeedKey=0"/>
  </connection>
  <connection id="716" name="Connection668" type="4" refreshedVersion="3" background="1" saveData="1">
    <webPr sourceData="1" parsePre="1" consecutive="1" xl2000="1" url="http://cf.umassadmin.net/finance/crosswalk/GetCFData4PA2.cfm?BU=0&amp;SpeedKey=0"/>
  </connection>
  <connection id="717" name="Connection669" type="4" refreshedVersion="3" background="1" saveData="1">
    <webPr sourceData="1" parsePre="1" consecutive="1" xl2000="1" url="http://cf.umassadmin.net/finance/crosswalk/GetCFData4PA2.cfm?BU=0&amp;SpeedKey=0"/>
  </connection>
  <connection id="718" name="Connection67" type="4" refreshedVersion="2" background="1" saveData="1">
    <webPr sourceData="1" parsePre="1" consecutive="1" xl2000="1" url="http://cf.umassadmin.net/finance/crosswalk/GetCFData4PA.cfm?BU=0&amp;AcctCode=0"/>
  </connection>
  <connection id="719" name="Connection670" type="4" refreshedVersion="2" background="1" saveData="1">
    <webPr sourceData="1" parsePre="1" consecutive="1" xl2000="1" url="http://cf.umassadmin.net/finance/crosswalk/GetCFData4PA2.cfm?BU=0&amp;SpeedKey=0"/>
  </connection>
  <connection id="720" name="Connection671" type="4" refreshedVersion="3" background="1" saveData="1">
    <webPr sourceData="1" parsePre="1" consecutive="1" xl2000="1" url="http://cf.umassadmin.net/finance/crosswalk/GetCFData4PA2.cfm?BU=0&amp;SpeedKey=0"/>
  </connection>
  <connection id="721" name="Connection672" type="4" refreshedVersion="3" background="1" saveData="1">
    <webPr sourceData="1" parsePre="1" consecutive="1" xl2000="1" url="http://cf.umassadmin.net/finance/crosswalk/GetCFData4PA2.cfm?BU=0&amp;SpeedKey=0"/>
  </connection>
  <connection id="722" name="Connection673" type="4" refreshedVersion="3" background="1" saveData="1">
    <webPr sourceData="1" parsePre="1" consecutive="1" xl2000="1" url="http://cf.umassadmin.net/finance/crosswalk/GetCFData4PA2.cfm?BU=0&amp;SpeedKey=0"/>
  </connection>
  <connection id="723" name="Connection674" type="4" refreshedVersion="2" background="1" saveData="1">
    <webPr sourceData="1" parsePre="1" consecutive="1" xl2000="1" url="http://cf.umassadmin.net/finance/crosswalk/GetCFData4PA2.cfm?BU=0&amp;SpeedKey=0"/>
  </connection>
  <connection id="724" name="Connection675" type="4" refreshedVersion="2" background="1" saveData="1">
    <webPr sourceData="1" parsePre="1" consecutive="1" xl2000="1" url="http://cf.umassadmin.net/finance/crosswalk/GetCFData4PA2.cfm?BU=0&amp;SpeedKey=0"/>
  </connection>
  <connection id="725" name="Connection676" type="4" refreshedVersion="3" background="1" saveData="1">
    <webPr sourceData="1" parsePre="1" consecutive="1" xl2000="1" url="http://cf.umassadmin.net/finance/crosswalk/GetCFData4PA2.cfm?BU=0&amp;SpeedKey=0"/>
  </connection>
  <connection id="726" name="Connection677" type="4" refreshedVersion="2" background="1" saveData="1">
    <webPr sourceData="1" parsePre="1" consecutive="1" xl2000="1" url="http://cf.umassadmin.net/finance/crosswalk/GetCFData4PA2.cfm?BU=0&amp;SpeedKey=0"/>
  </connection>
  <connection id="727" name="Connection678" type="4" refreshedVersion="2" background="1" saveData="1">
    <webPr sourceData="1" parsePre="1" consecutive="1" xl2000="1" url="http://cf.umassadmin.net/finance/crosswalk/GetCFData4PA2.cfm?BU=0&amp;SpeedKey=0"/>
  </connection>
  <connection id="728" name="Connection679" type="4" refreshedVersion="2" background="1" saveData="1">
    <webPr sourceData="1" parsePre="1" consecutive="1" xl2000="1" url="http://cf.umassadmin.net/finance/crosswalk/GetCFData4PA2.cfm?BU=0&amp;SpeedKey=0"/>
  </connection>
  <connection id="729" name="Connection68" type="4" refreshedVersion="2" background="1" saveData="1">
    <webPr sourceData="1" parsePre="1" consecutive="1" xl2000="1" url="http://cf.umassadmin.net/finance/crosswalk/GetCFData4PA.cfm?BU=0&amp;AcctCode=0"/>
  </connection>
  <connection id="730" name="Connection680" type="4" refreshedVersion="3" background="1" saveData="1">
    <webPr sourceData="1" parsePre="1" consecutive="1" xl2000="1" url="http://cf.umassadmin.net/finance/crosswalk/GetCFData4PA2.cfm?BU=0&amp;SpeedKey=0"/>
  </connection>
  <connection id="731" name="Connection681" type="4" refreshedVersion="3" background="1" saveData="1">
    <webPr sourceData="1" parsePre="1" consecutive="1" xl2000="1" url="http://cf.umassadmin.net/finance/crosswalk/GetCFData4PA2.cfm?BU=0&amp;SpeedKey=0"/>
  </connection>
  <connection id="732" name="Connection682" type="4" refreshedVersion="2" background="1" saveData="1">
    <webPr sourceData="1" parsePre="1" consecutive="1" xl2000="1" url="http://cf.umassadmin.net/finance/crosswalk/GetCFData4PA2.cfm?BU=0&amp;SpeedKey=0"/>
  </connection>
  <connection id="733" name="Connection683" type="4" refreshedVersion="3" background="1" saveData="1">
    <webPr sourceData="1" parsePre="1" consecutive="1" xl2000="1" url="http://cf.umassadmin.net/finance/crosswalk/GetCFData4PA2.cfm?BU=0&amp;SpeedKey=0"/>
  </connection>
  <connection id="734" name="Connection684" type="4" refreshedVersion="2" background="1" saveData="1">
    <webPr sourceData="1" parsePre="1" consecutive="1" xl2000="1" url="http://cf.umassadmin.net/finance/crosswalk/GetCFData4PA2.cfm?BU=0&amp;SpeedKey=0"/>
  </connection>
  <connection id="735" name="Connection685" type="4" refreshedVersion="3" background="1" saveData="1">
    <webPr sourceData="1" parsePre="1" consecutive="1" xl2000="1" url="http://cf.umassadmin.net/finance/crosswalk/GetCFData4PA2.cfm?BU=0&amp;SpeedKey=0"/>
  </connection>
  <connection id="736" name="Connection686" type="4" refreshedVersion="3" background="1" saveData="1">
    <webPr sourceData="1" parsePre="1" consecutive="1" xl2000="1" url="http://cf.umassadmin.net/finance/crosswalk/GetCFData4PA2.cfm?BU=0&amp;SpeedKey=0"/>
  </connection>
  <connection id="737" name="Connection687" type="4" refreshedVersion="3" background="1" saveData="1">
    <webPr sourceData="1" parsePre="1" consecutive="1" xl2000="1" url="http://cf.umassadmin.net/finance/crosswalk/GetCFData4PA2.cfm?BU=0&amp;SpeedKey=0"/>
  </connection>
  <connection id="738" name="Connection688" type="4" refreshedVersion="3" background="1" saveData="1">
    <webPr sourceData="1" parsePre="1" consecutive="1" xl2000="1" url="http://cf.umassadmin.net/finance/crosswalk/GetCFData4PA2.cfm?BU=0&amp;SpeedKey=0"/>
  </connection>
  <connection id="739" name="Connection689" type="4" refreshedVersion="3" background="1" saveData="1">
    <webPr sourceData="1" parsePre="1" consecutive="1" xl2000="1" url="http://cf.umassadmin.net/finance/crosswalk/GetCFData4PA2.cfm?BU=0&amp;SpeedKey=0"/>
  </connection>
  <connection id="740" name="Connection69" type="4" refreshedVersion="2" background="1" saveData="1">
    <webPr sourceData="1" parsePre="1" consecutive="1" xl2000="1" url="http://cf.umassadmin.net/finance/crosswalk/GetCFData4PA.cfm?BU=0&amp;AcctCode=0"/>
  </connection>
  <connection id="741" name="Connection690" type="4" refreshedVersion="2" background="1" saveData="1">
    <webPr sourceData="1" parsePre="1" consecutive="1" xl2000="1" url="http://cf.umassadmin.net/finance/crosswalk/GetCFData4PA2.cfm?BU=0&amp;SpeedKey=0"/>
  </connection>
  <connection id="742" name="Connection691" type="4" refreshedVersion="2" background="1" saveData="1">
    <webPr sourceData="1" parsePre="1" consecutive="1" xl2000="1" url="http://cf.umassadmin.net/finance/crosswalk/GetCFData4PA2.cfm?BU=0&amp;SpeedKey=0"/>
  </connection>
  <connection id="743" name="Connection692" type="4" refreshedVersion="3" background="1" saveData="1">
    <webPr sourceData="1" parsePre="1" consecutive="1" xl2000="1" url="http://cf.umassadmin.net/finance/crosswalk/GetCFData4PA2.cfm?BU=0&amp;SpeedKey=0"/>
  </connection>
  <connection id="744" name="Connection693" type="4" refreshedVersion="3" background="1" saveData="1">
    <webPr sourceData="1" parsePre="1" consecutive="1" xl2000="1" url="http://cf.umassadmin.net/finance/crosswalk/GetCFData4PA2.cfm?BU=0&amp;SpeedKey=0"/>
  </connection>
  <connection id="745" name="Connection694" type="4" refreshedVersion="2" background="1" saveData="1">
    <webPr sourceData="1" parsePre="1" consecutive="1" xl2000="1" url="http://cf.umassadmin.net/finance/crosswalk/GetCFData4PA2.cfm?BU=0&amp;SpeedKey=0"/>
  </connection>
  <connection id="746" name="Connection695" type="4" refreshedVersion="3" background="1" saveData="1">
    <webPr sourceData="1" parsePre="1" consecutive="1" xl2000="1" url="http://cf.umassadmin.net/finance/crosswalk/GetCFData4PA2.cfm?BU=0&amp;SpeedKey=0"/>
  </connection>
  <connection id="747" name="Connection696" type="4" refreshedVersion="2" background="1" saveData="1">
    <webPr sourceData="1" parsePre="1" consecutive="1" xl2000="1" url="http://cf.umassadmin.net/finance/crosswalk/GetCFData4PA2.cfm?BU=0&amp;SpeedKey=0"/>
  </connection>
  <connection id="748" name="Connection697" type="4" refreshedVersion="3" background="1" saveData="1">
    <webPr sourceData="1" parsePre="1" consecutive="1" xl2000="1" url="http://cf.umassadmin.net/finance/crosswalk/GetCFData4PA2.cfm?BU=0&amp;SpeedKey=0"/>
  </connection>
  <connection id="749" name="Connection698" type="4" refreshedVersion="2" background="1" saveData="1">
    <webPr sourceData="1" parsePre="1" consecutive="1" xl2000="1" url="http://cf.umassadmin.net/finance/crosswalk/GetCFData4PA2.cfm?BU=0&amp;SpeedKey=0"/>
  </connection>
  <connection id="750" name="Connection699" type="4" refreshedVersion="3" background="1" saveData="1">
    <webPr sourceData="1" parsePre="1" consecutive="1" xl2000="1" url="http://cf.umassadmin.net/finance/crosswalk/GetCFData4PA2.cfm?BU=0&amp;SpeedKey=0"/>
  </connection>
  <connection id="751" name="Connection7" type="4" refreshedVersion="3" background="1" saveData="1">
    <webPr sourceData="1" parsePre="1" consecutive="1" xl2000="1" url="http://cf.umassadmin.net/finance/crosswalk/GetCFData4PA2.cfm?BU=0&amp;SpeedKey=0"/>
  </connection>
  <connection id="752" name="Connection70" type="4" refreshedVersion="3" background="1" saveData="1">
    <webPr sourceData="1" parsePre="1" consecutive="1" xl2000="1" url="http://cf.umassadmin.net/finance/crosswalk/GetCFData4PA2.cfm?BU=0&amp;SpeedKey=0"/>
  </connection>
  <connection id="753" name="Connection700" type="4" refreshedVersion="3" background="1" saveData="1">
    <webPr sourceData="1" parsePre="1" consecutive="1" xl2000="1" url="http://cf.umassadmin.net/finance/crosswalk/GetCFData4PA2.cfm?BU=0&amp;SpeedKey=0"/>
  </connection>
  <connection id="754" name="Connection701" type="4" refreshedVersion="2" background="1" saveData="1">
    <webPr sourceData="1" parsePre="1" consecutive="1" xl2000="1" url="http://cf.umassadmin.net/finance/crosswalk/GetCFData4PA2.cfm?BU=0&amp;SpeedKey=0"/>
  </connection>
  <connection id="755" name="Connection702" type="4" refreshedVersion="3" background="1" saveData="1">
    <webPr sourceData="1" parsePre="1" consecutive="1" xl2000="1" url="http://cf.umassadmin.net/finance/crosswalk/GetCFData4PA2.cfm?BU=0&amp;SpeedKey=0"/>
  </connection>
  <connection id="756" name="Connection703" type="4" refreshedVersion="2" background="1" saveData="1">
    <webPr sourceData="1" parsePre="1" consecutive="1" xl2000="1" url="http://cf.umassadmin.net/finance/crosswalk/GetCFData4PA2.cfm?BU=0&amp;SpeedKey=0"/>
  </connection>
  <connection id="757" name="Connection704" type="4" refreshedVersion="3" background="1" saveData="1">
    <webPr sourceData="1" parsePre="1" consecutive="1" xl2000="1" url="http://cf.umassadmin.net/finance/crosswalk/GetCFData4PA2.cfm?BU=0&amp;SpeedKey=0"/>
  </connection>
  <connection id="758" name="Connection705" type="4" refreshedVersion="2" background="1" saveData="1">
    <webPr sourceData="1" parsePre="1" consecutive="1" xl2000="1" url="http://cf.umassadmin.net/finance/crosswalk/GetCFData4PA2.cfm?BU=0&amp;SpeedKey=0"/>
  </connection>
  <connection id="759" name="Connection706" type="4" refreshedVersion="3" background="1" saveData="1">
    <webPr sourceData="1" parsePre="1" consecutive="1" xl2000="1" url="http://cf.umassadmin.net/finance/crosswalk/GetCFData4PA2.cfm?BU=0&amp;SpeedKey=0"/>
  </connection>
  <connection id="760" name="Connection707" type="4" refreshedVersion="3" background="1" saveData="1">
    <webPr sourceData="1" parsePre="1" consecutive="1" xl2000="1" url="http://cf.umassadmin.net/finance/crosswalk/GetCFData4PA2.cfm?BU=0&amp;SpeedKey=0"/>
  </connection>
  <connection id="761" name="Connection708" type="4" refreshedVersion="3" background="1" saveData="1">
    <webPr sourceData="1" parsePre="1" consecutive="1" xl2000="1" url="http://cf.umassadmin.net/finance/crosswalk/GetCFData4PA2.cfm?BU=0&amp;SpeedKey=0"/>
  </connection>
  <connection id="762" name="Connection709" type="4" refreshedVersion="3" background="1" saveData="1">
    <webPr sourceData="1" parsePre="1" consecutive="1" xl2000="1" url="http://cf.umassadmin.net/finance/crosswalk/GetCFData4PA2.cfm?BU=0&amp;SpeedKey=0"/>
  </connection>
  <connection id="763" name="Connection71" type="4" refreshedVersion="2" background="1" saveData="1">
    <webPr sourceData="1" parsePre="1" consecutive="1" xl2000="1" url="http://cf.umassadmin.net/finance/crosswalk/GetCFData4PA.cfm?BU=0&amp;AcctCode=0"/>
  </connection>
  <connection id="764" name="Connection710" type="4" refreshedVersion="3" background="1" saveData="1">
    <webPr sourceData="1" parsePre="1" consecutive="1" xl2000="1" url="http://cf.umassadmin.net/finance/crosswalk/GetCFData4PA2.cfm?BU=0&amp;SpeedKey=0"/>
  </connection>
  <connection id="765" name="Connection711" type="4" refreshedVersion="2" background="1" saveData="1">
    <webPr sourceData="1" parsePre="1" consecutive="1" xl2000="1" url="http://cf.umassadmin.net/finance/crosswalk/GetCFData4PA2.cfm?BU=0&amp;SpeedKey=0"/>
  </connection>
  <connection id="766" name="Connection712" type="4" refreshedVersion="2" background="1" saveData="1">
    <webPr sourceData="1" parsePre="1" consecutive="1" xl2000="1" url="http://cf.umassadmin.net/finance/crosswalk/GetCFData4PA2.cfm?BU=0&amp;SpeedKey=0"/>
  </connection>
  <connection id="767" name="Connection713" type="4" refreshedVersion="2" background="1" saveData="1">
    <webPr sourceData="1" parsePre="1" consecutive="1" xl2000="1" url="http://cf.umassadmin.net/finance/crosswalk/GetCFData4PA2.cfm?BU=0&amp;SpeedKey=0"/>
  </connection>
  <connection id="768" name="Connection714" type="4" refreshedVersion="2" background="1" saveData="1">
    <webPr sourceData="1" parsePre="1" consecutive="1" xl2000="1" url="http://cf.umassadmin.net/finance/crosswalk/GetCFData4PA2.cfm?BU=0&amp;SpeedKey=0"/>
  </connection>
  <connection id="769" name="Connection715" type="4" refreshedVersion="2" background="1" saveData="1">
    <webPr sourceData="1" parsePre="1" consecutive="1" xl2000="1" url="http://cf.umassadmin.net/finance/crosswalk/GetCFData4PA2.cfm?BU=0&amp;SpeedKey=0"/>
  </connection>
  <connection id="770" name="Connection716" type="4" refreshedVersion="3" background="1" saveData="1">
    <webPr sourceData="1" parsePre="1" consecutive="1" xl2000="1" url="http://cf.umassadmin.net/finance/crosswalk/GetCFData4PA2.cfm?BU=0&amp;SpeedKey=0"/>
  </connection>
  <connection id="771" name="Connection717" type="4" refreshedVersion="3" background="1" saveData="1">
    <webPr sourceData="1" parsePre="1" consecutive="1" xl2000="1" url="http://cf.umassadmin.net/finance/crosswalk/GetCFData4PA2.cfm?BU=0&amp;SpeedKey=0"/>
  </connection>
  <connection id="772" name="Connection718" type="4" refreshedVersion="3" background="1" saveData="1">
    <webPr sourceData="1" parsePre="1" consecutive="1" xl2000="1" url="http://cf.umassadmin.net/finance/crosswalk/GetCFData4PA2.cfm?BU=0&amp;SpeedKey=0"/>
  </connection>
  <connection id="773" name="Connection719" type="4" refreshedVersion="2" background="1" saveData="1">
    <webPr sourceData="1" parsePre="1" consecutive="1" xl2000="1" url="http://cf.umassadmin.net/finance/crosswalk/GetCFData4PA2.cfm?BU=0&amp;SpeedKey=0"/>
  </connection>
  <connection id="774" name="Connection72" type="4" refreshedVersion="2" background="1" saveData="1">
    <webPr sourceData="1" parsePre="1" consecutive="1" xl2000="1" url="http://cf.umassadmin.net/finance/crosswalk/GetCFData4PA.cfm?BU=0&amp;AcctCode=0"/>
  </connection>
  <connection id="775" name="Connection720" type="4" refreshedVersion="3" background="1" saveData="1">
    <webPr sourceData="1" parsePre="1" consecutive="1" xl2000="1" url="http://cf.umassadmin.net/finance/crosswalk/GetCFData4PA2.cfm?BU=0&amp;SpeedKey=0"/>
  </connection>
  <connection id="776" name="Connection721" type="4" refreshedVersion="2" background="1" saveData="1">
    <webPr sourceData="1" parsePre="1" consecutive="1" xl2000="1" url="http://cf.umassadmin.net/finance/crosswalk/GetCFData4PA2.cfm?BU=0&amp;SpeedKey=0"/>
  </connection>
  <connection id="777" name="Connection722" type="4" refreshedVersion="2" background="1" saveData="1">
    <webPr sourceData="1" parsePre="1" consecutive="1" xl2000="1" url="http://cf.umassadmin.net/finance/crosswalk/GetCFData4PA2.cfm?BU=0&amp;SpeedKey=0"/>
  </connection>
  <connection id="778" name="Connection723" type="4" refreshedVersion="3" background="1" saveData="1">
    <webPr sourceData="1" parsePre="1" consecutive="1" xl2000="1" url="http://cf.umassadmin.net/finance/crosswalk/GetCFData4PA2.cfm?BU=0&amp;SpeedKey=0"/>
  </connection>
  <connection id="779" name="Connection724" type="4" refreshedVersion="2" background="1" saveData="1">
    <webPr sourceData="1" parsePre="1" consecutive="1" xl2000="1" url="http://cf.umassadmin.net/finance/crosswalk/GetCFData4PA2.cfm?BU=0&amp;SpeedKey=0"/>
  </connection>
  <connection id="780" name="Connection725" type="4" refreshedVersion="3" background="1" saveData="1">
    <webPr sourceData="1" parsePre="1" consecutive="1" xl2000="1" url="http://cf.umassadmin.net/finance/crosswalk/GetCFData4PA2.cfm?BU=0&amp;SpeedKey=0"/>
  </connection>
  <connection id="781" name="Connection726" type="4" refreshedVersion="2" background="1" saveData="1">
    <webPr sourceData="1" parsePre="1" consecutive="1" xl2000="1" url="http://cf.umassadmin.net/finance/crosswalk/GetCFData4PA2.cfm?BU=0&amp;SpeedKey=0"/>
  </connection>
  <connection id="782" name="Connection727" type="4" refreshedVersion="2" background="1" saveData="1">
    <webPr sourceData="1" parsePre="1" consecutive="1" xl2000="1" url="http://cf.umassadmin.net/finance/crosswalk/GetCFData4PA2.cfm?BU=0&amp;SpeedKey=0"/>
  </connection>
  <connection id="783" name="Connection728" type="4" refreshedVersion="2" background="1" saveData="1">
    <webPr sourceData="1" parsePre="1" consecutive="1" xl2000="1" url="http://cf.umassadmin.net/finance/crosswalk/GetCFData4PA2.cfm?BU=0&amp;SpeedKey=0"/>
  </connection>
  <connection id="784" name="Connection729" type="4" refreshedVersion="2" background="1" saveData="1">
    <webPr sourceData="1" parsePre="1" consecutive="1" xl2000="1" url="http://cf.umassadmin.net/finance/crosswalk/GetCFData4PA2.cfm?BU=0&amp;SpeedKey=0"/>
  </connection>
  <connection id="785" name="Connection73" type="4" refreshedVersion="2" background="1" saveData="1">
    <webPr sourceData="1" parsePre="1" consecutive="1" xl2000="1" url="http://cf.umassadmin.net/finance/crosswalk/GetCFData4PA.cfm?BU=0&amp;AcctCode=0"/>
  </connection>
  <connection id="786" name="Connection730" type="4" refreshedVersion="3" background="1" saveData="1">
    <webPr sourceData="1" parsePre="1" consecutive="1" xl2000="1" url="http://cf.umassadmin.net/finance/crosswalk/GetCFData4PA2.cfm?BU=0&amp;SpeedKey=0"/>
  </connection>
  <connection id="787" name="Connection731" type="4" refreshedVersion="3" background="1" saveData="1">
    <webPr sourceData="1" parsePre="1" consecutive="1" xl2000="1" url="http://cf.umassadmin.net/finance/crosswalk/GetCFData4PA2.cfm?BU=0&amp;SpeedKey=0"/>
  </connection>
  <connection id="788" name="Connection732" type="4" refreshedVersion="3" background="1" saveData="1">
    <webPr sourceData="1" parsePre="1" consecutive="1" xl2000="1" url="http://cf.umassadmin.net/finance/crosswalk/GetCFData4PA2.cfm?BU=0&amp;SpeedKey=0"/>
  </connection>
  <connection id="789" name="Connection733" type="4" refreshedVersion="2" background="1" saveData="1">
    <webPr sourceData="1" parsePre="1" consecutive="1" xl2000="1" url="http://cf.umassadmin.net/finance/crosswalk/GetCFData4PA2.cfm?BU=0&amp;SpeedKey=0"/>
  </connection>
  <connection id="790" name="Connection734" type="4" refreshedVersion="3" background="1" saveData="1">
    <webPr sourceData="1" parsePre="1" consecutive="1" xl2000="1" url="http://cf.umassadmin.net/finance/crosswalk/GetCFData4PA2.cfm?BU=0&amp;SpeedKey=0"/>
  </connection>
  <connection id="791" name="Connection735" type="4" refreshedVersion="2" background="1" saveData="1">
    <webPr sourceData="1" parsePre="1" consecutive="1" xl2000="1" url="http://cf.umassadmin.net/finance/crosswalk/GetCFData4PA2.cfm?BU=0&amp;SpeedKey=0"/>
  </connection>
  <connection id="792" name="Connection736" type="4" refreshedVersion="2" background="1" saveData="1">
    <webPr sourceData="1" parsePre="1" consecutive="1" xl2000="1" url="http://cf.umassadmin.net/finance/crosswalk/GetCFData4PA2.cfm?BU=0&amp;SpeedKey=0"/>
  </connection>
  <connection id="793" name="Connection737" type="4" refreshedVersion="3" background="1" saveData="1">
    <webPr sourceData="1" parsePre="1" consecutive="1" xl2000="1" url="http://cf.umassadmin.net/finance/crosswalk/GetCFData4PA2.cfm?BU=0&amp;SpeedKey=0"/>
  </connection>
  <connection id="794" name="Connection738" type="4" refreshedVersion="2" background="1" saveData="1">
    <webPr sourceData="1" parsePre="1" consecutive="1" xl2000="1" url="http://cf.umassadmin.net/finance/crosswalk/GetCFData4PA2.cfm?BU=0&amp;SpeedKey=0"/>
  </connection>
  <connection id="795" name="Connection739" type="4" refreshedVersion="3" background="1" saveData="1">
    <webPr sourceData="1" parsePre="1" consecutive="1" xl2000="1" url="http://cf.umassadmin.net/finance/crosswalk/GetCFData4PA2.cfm?BU=0&amp;SpeedKey=0"/>
  </connection>
  <connection id="796" name="Connection74" type="4" refreshedVersion="3" background="1" saveData="1">
    <webPr sourceData="1" parsePre="1" consecutive="1" xl2000="1" url="http://cf.umassadmin.net/finance/crosswalk/GetCFData4PA2.cfm?BU=0&amp;SpeedKey=0"/>
  </connection>
  <connection id="797" name="Connection740" type="4" refreshedVersion="3" background="1" saveData="1">
    <webPr sourceData="1" parsePre="1" consecutive="1" xl2000="1" url="http://cf.umassadmin.net/finance/crosswalk/GetCFData4PA2.cfm?BU=0&amp;SpeedKey=0"/>
  </connection>
  <connection id="798" name="Connection741" type="4" refreshedVersion="2" background="1" saveData="1">
    <webPr sourceData="1" parsePre="1" consecutive="1" xl2000="1" url="http://cf.umassadmin.net/finance/crosswalk/GetCFData4PA2.cfm?BU=0&amp;SpeedKey=0"/>
  </connection>
  <connection id="799" name="Connection742" type="4" refreshedVersion="3" background="1" saveData="1">
    <webPr sourceData="1" parsePre="1" consecutive="1" xl2000="1" url="http://cf.umassadmin.net/finance/crosswalk/GetCFData4PA2.cfm?BU=0&amp;SpeedKey=0"/>
  </connection>
  <connection id="800" name="Connection743" type="4" refreshedVersion="2" background="1" saveData="1">
    <webPr sourceData="1" parsePre="1" consecutive="1" xl2000="1" url="http://cf.umassadmin.net/finance/crosswalk/GetCFData4PA2.cfm?BU=0&amp;SpeedKey=0"/>
  </connection>
  <connection id="801" name="Connection744" type="4" refreshedVersion="3" background="1" saveData="1">
    <webPr sourceData="1" parsePre="1" consecutive="1" xl2000="1" url="http://cf.umassadmin.net/finance/crosswalk/GetCFData4PA2.cfm?BU=0&amp;SpeedKey=0"/>
  </connection>
  <connection id="802" name="Connection745" type="4" refreshedVersion="2" background="1" saveData="1">
    <webPr sourceData="1" parsePre="1" consecutive="1" xl2000="1" url="http://cf.umassadmin.net/finance/crosswalk/GetCFData4PA2.cfm?BU=0&amp;SpeedKey=0"/>
  </connection>
  <connection id="803" name="Connection746" type="4" refreshedVersion="3" background="1" saveData="1">
    <webPr sourceData="1" parsePre="1" consecutive="1" xl2000="1" url="http://cf.umassadmin.net/finance/crosswalk/GetCFData4PA2.cfm?BU=0&amp;SpeedKey=0"/>
  </connection>
  <connection id="804" name="Connection747" type="4" refreshedVersion="2" background="1" saveData="1">
    <webPr sourceData="1" parsePre="1" consecutive="1" xl2000="1" url="http://cf.umassadmin.net/finance/crosswalk/GetCFData4PA2.cfm?BU=0&amp;SpeedKey=0"/>
  </connection>
  <connection id="805" name="Connection748" type="4" refreshedVersion="3" background="1" saveData="1">
    <webPr sourceData="1" parsePre="1" consecutive="1" xl2000="1" url="http://cf.umassadmin.net/finance/crosswalk/GetCFData4PA2.cfm?BU=0&amp;SpeedKey=0"/>
  </connection>
  <connection id="806" name="Connection749" type="4" refreshedVersion="2" background="1" saveData="1">
    <webPr sourceData="1" parsePre="1" consecutive="1" xl2000="1" url="http://cf.umassadmin.net/finance/crosswalk/GetCFData4PA2.cfm?BU=0&amp;SpeedKey=0"/>
  </connection>
  <connection id="807" name="Connection75" type="4" refreshedVersion="2" background="1" saveData="1">
    <webPr sourceData="1" parsePre="1" consecutive="1" xl2000="1" url="http://cf.umassadmin.net/finance/crosswalk/GetCFData4PA.cfm?BU=0&amp;AcctCode=0"/>
  </connection>
  <connection id="808" name="Connection750" type="4" refreshedVersion="3" background="1" saveData="1">
    <webPr sourceData="1" parsePre="1" consecutive="1" xl2000="1" url="http://cf.umassadmin.net/finance/crosswalk/GetCFData4PA2.cfm?BU=0&amp;SpeedKey=0"/>
  </connection>
  <connection id="809" name="Connection751" type="4" refreshedVersion="2" background="1" saveData="1">
    <webPr sourceData="1" parsePre="1" consecutive="1" xl2000="1" url="http://cf.umassadmin.net/finance/crosswalk/GetCFData4PA2.cfm?BU=0&amp;SpeedKey=0"/>
  </connection>
  <connection id="810" name="Connection752" type="4" refreshedVersion="2" background="1" saveData="1">
    <webPr sourceData="1" parsePre="1" consecutive="1" xl2000="1" url="http://cf.umassadmin.net/finance/crosswalk/GetCFData4PA2.cfm?BU=0&amp;SpeedKey=0"/>
  </connection>
  <connection id="811" name="Connection753" type="4" refreshedVersion="3" background="1" saveData="1">
    <webPr sourceData="1" parsePre="1" consecutive="1" xl2000="1" url="http://cf.umassadmin.net/finance/crosswalk/GetCFData4PA2.cfm?BU=0&amp;SpeedKey=0"/>
  </connection>
  <connection id="812" name="Connection754" type="4" refreshedVersion="3" background="1" saveData="1">
    <webPr sourceData="1" parsePre="1" consecutive="1" xl2000="1" url="http://cf.umassadmin.net/finance/crosswalk/GetCFData4PA2.cfm?BU=0&amp;SpeedKey=0"/>
  </connection>
  <connection id="813" name="Connection755" type="4" refreshedVersion="3" background="1" saveData="1">
    <webPr sourceData="1" parsePre="1" consecutive="1" xl2000="1" url="http://cf.umassadmin.net/finance/crosswalk/GetCFData4PA2.cfm?BU=0&amp;SpeedKey=0"/>
  </connection>
  <connection id="814" name="Connection756" type="4" refreshedVersion="2" background="1" saveData="1">
    <webPr sourceData="1" parsePre="1" consecutive="1" xl2000="1" url="http://cf.umassadmin.net/finance/crosswalk/GetCFData4PA2.cfm?BU=0&amp;SpeedKey=0"/>
  </connection>
  <connection id="815" name="Connection757" type="4" refreshedVersion="2" background="1" saveData="1">
    <webPr sourceData="1" parsePre="1" consecutive="1" xl2000="1" url="http://cf.umassadmin.net/finance/crosswalk/GetCFData4PA2.cfm?BU=0&amp;SpeedKey=0"/>
  </connection>
  <connection id="816" name="Connection758" type="4" refreshedVersion="3" background="1" saveData="1">
    <webPr sourceData="1" parsePre="1" consecutive="1" xl2000="1" url="http://cf.umassadmin.net/finance/crosswalk/GetCFData4PA2.cfm?BU=0&amp;SpeedKey=0"/>
  </connection>
  <connection id="817" name="Connection759" type="4" refreshedVersion="2" background="1" saveData="1">
    <webPr sourceData="1" parsePre="1" consecutive="1" xl2000="1" url="http://cf.umassadmin.net/finance/crosswalk/GetCFData4PA2.cfm?BU=0&amp;SpeedKey=0"/>
  </connection>
  <connection id="818" name="Connection76" type="4" refreshedVersion="3" background="1" saveData="1">
    <webPr sourceData="1" parsePre="1" consecutive="1" xl2000="1" url="http://cf.umassadmin.net/finance/crosswalk/GetCFData4PA2.cfm?BU=0&amp;SpeedKey=0"/>
  </connection>
  <connection id="819" name="Connection760" type="4" refreshedVersion="3" background="1" saveData="1">
    <webPr sourceData="1" parsePre="1" consecutive="1" xl2000="1" url="http://cf.umassadmin.net/finance/crosswalk/GetCFData4PA2.cfm?BU=0&amp;SpeedKey=0"/>
  </connection>
  <connection id="820" name="Connection761" type="4" refreshedVersion="2" background="1" saveData="1">
    <webPr sourceData="1" parsePre="1" consecutive="1" xl2000="1" url="http://cf.umassadmin.net/finance/crosswalk/GetCFData4PA2.cfm?BU=0&amp;SpeedKey=0"/>
  </connection>
  <connection id="821" name="Connection762" type="4" refreshedVersion="3" background="1" saveData="1">
    <webPr sourceData="1" parsePre="1" consecutive="1" xl2000="1" url="http://cf.umassadmin.net/finance/crosswalk/GetCFData4PA2.cfm?BU=0&amp;SpeedKey=0"/>
  </connection>
  <connection id="822" name="Connection763" type="4" refreshedVersion="3" background="1" saveData="1">
    <webPr sourceData="1" parsePre="1" consecutive="1" xl2000="1" url="http://cf.umassadmin.net/finance/crosswalk/GetCFData4PA2.cfm?BU=0&amp;SpeedKey=0"/>
  </connection>
  <connection id="823" name="Connection764" type="4" refreshedVersion="3" background="1" saveData="1">
    <webPr sourceData="1" parsePre="1" consecutive="1" xl2000="1" url="http://cf.umassadmin.net/finance/crosswalk/GetCFData4PA2.cfm?BU=0&amp;SpeedKey=0"/>
  </connection>
  <connection id="824" name="Connection765" type="4" refreshedVersion="2" background="1" saveData="1">
    <webPr sourceData="1" parsePre="1" consecutive="1" xl2000="1" url="http://cf.umassadmin.net/finance/crosswalk/GetCFData4PA2.cfm?BU=0&amp;SpeedKey=0"/>
  </connection>
  <connection id="825" name="Connection766" type="4" refreshedVersion="3" background="1" saveData="1">
    <webPr sourceData="1" parsePre="1" consecutive="1" xl2000="1" url="http://cf.umassadmin.net/finance/crosswalk/GetCFData4PA2.cfm?BU=0&amp;SpeedKey=0"/>
  </connection>
  <connection id="826" name="Connection767" type="4" refreshedVersion="2" background="1" saveData="1">
    <webPr sourceData="1" parsePre="1" consecutive="1" xl2000="1" url="http://cf.umassadmin.net/finance/crosswalk/GetCFData4PA2.cfm?BU=0&amp;SpeedKey=0"/>
  </connection>
  <connection id="827" name="Connection768" type="4" refreshedVersion="2" background="1" saveData="1">
    <webPr sourceData="1" parsePre="1" consecutive="1" xl2000="1" url="http://cf.umassadmin.net/finance/crosswalk/GetCFData4PA2.cfm?BU=0&amp;SpeedKey=0"/>
  </connection>
  <connection id="828" name="Connection769" type="4" refreshedVersion="3" background="1" saveData="1">
    <webPr sourceData="1" parsePre="1" consecutive="1" xl2000="1" url="http://cf.umassadmin.net/finance/crosswalk/GetCFData4PA2.cfm?BU=0&amp;SpeedKey=0"/>
  </connection>
  <connection id="829" name="Connection77" type="4" refreshedVersion="2" background="1" saveData="1">
    <webPr sourceData="1" parsePre="1" consecutive="1" xl2000="1" url="http://cf.umassadmin.net/finance/crosswalk/GetCFData4PA.cfm?BU=0&amp;AcctCode=0"/>
  </connection>
  <connection id="830" name="Connection770" type="4" refreshedVersion="3" background="1" saveData="1">
    <webPr sourceData="1" parsePre="1" consecutive="1" xl2000="1" url="http://cf.umassadmin.net/finance/crosswalk/GetCFData4PA2.cfm?BU=0&amp;SpeedKey=0"/>
  </connection>
  <connection id="831" name="Connection771" type="4" refreshedVersion="2" background="1" saveData="1">
    <webPr sourceData="1" parsePre="1" consecutive="1" xl2000="1" url="http://cf.umassadmin.net/finance/crosswalk/GetCFData4PA2.cfm?BU=0&amp;SpeedKey=0"/>
  </connection>
  <connection id="832" name="Connection772" type="4" refreshedVersion="2" background="1" saveData="1">
    <webPr sourceData="1" parsePre="1" consecutive="1" xl2000="1" url="http://cf.umassadmin.net/finance/crosswalk/GetCFData4PA2.cfm?BU=0&amp;SpeedKey=0"/>
  </connection>
  <connection id="833" name="Connection773" type="4" refreshedVersion="3" background="1" saveData="1">
    <webPr sourceData="1" parsePre="1" consecutive="1" xl2000="1" url="http://cf.umassadmin.net/finance/crosswalk/GetCFData4PA2.cfm?BU=0&amp;SpeedKey=0"/>
  </connection>
  <connection id="834" name="Connection774" type="4" refreshedVersion="2" background="1" saveData="1">
    <webPr sourceData="1" parsePre="1" consecutive="1" xl2000="1" url="http://cf.umassadmin.net/finance/crosswalk/GetCFData4PA2.cfm?BU=0&amp;SpeedKey=0"/>
  </connection>
  <connection id="835" name="Connection775" type="4" refreshedVersion="3" background="1" saveData="1">
    <webPr sourceData="1" parsePre="1" consecutive="1" xl2000="1" url="http://cf.umassadmin.net/finance/crosswalk/GetCFData4PA2.cfm?BU=0&amp;SpeedKey=0"/>
  </connection>
  <connection id="836" name="Connection776" type="4" refreshedVersion="2" background="1" saveData="1">
    <webPr sourceData="1" parsePre="1" consecutive="1" xl2000="1" url="http://cf.umassadmin.net/finance/crosswalk/GetCFData4PA2.cfm?BU=0&amp;SpeedKey=0"/>
  </connection>
  <connection id="837" name="Connection777" type="4" refreshedVersion="3" background="1" saveData="1">
    <webPr sourceData="1" parsePre="1" consecutive="1" xl2000="1" url="http://cf.umassadmin.net/finance/crosswalk/GetCFData4PA2.cfm?BU=0&amp;SpeedKey=0"/>
  </connection>
  <connection id="838" name="Connection778" type="4" refreshedVersion="2" background="1" saveData="1">
    <webPr sourceData="1" parsePre="1" consecutive="1" xl2000="1" url="http://cf.umassadmin.net/finance/crosswalk/GetCFData4PA2.cfm?BU=0&amp;SpeedKey=0"/>
  </connection>
  <connection id="839" name="Connection779" type="4" refreshedVersion="3" background="1" saveData="1">
    <webPr sourceData="1" parsePre="1" consecutive="1" xl2000="1" url="http://cf.umassadmin.net/finance/crosswalk/GetCFData4PA2.cfm?BU=0&amp;SpeedKey=0"/>
  </connection>
  <connection id="840" name="Connection78" type="4" refreshedVersion="2" background="1" saveData="1">
    <webPr sourceData="1" parsePre="1" consecutive="1" xl2000="1" url="http://cf.umassadmin.net/finance/crosswalk/GetCFData4PA.cfm?BU=0&amp;AcctCode=0"/>
  </connection>
  <connection id="841" name="Connection780" type="4" refreshedVersion="2" background="1" saveData="1">
    <webPr sourceData="1" parsePre="1" consecutive="1" xl2000="1" url="http://cf.umassadmin.net/finance/crosswalk/GetCFData4PA2.cfm?BU=0&amp;SpeedKey=0"/>
  </connection>
  <connection id="842" name="Connection781" type="4" refreshedVersion="3" background="1" saveData="1">
    <webPr sourceData="1" parsePre="1" consecutive="1" xl2000="1" url="http://cf.umassadmin.net/finance/crosswalk/GetCFData4PA2.cfm?BU=0&amp;SpeedKey=0"/>
  </connection>
  <connection id="843" name="Connection782" type="4" refreshedVersion="3" background="1" saveData="1">
    <webPr sourceData="1" parsePre="1" consecutive="1" xl2000="1" url="http://cf.umassadmin.net/finance/crosswalk/GetCFData4PA2.cfm?BU=0&amp;SpeedKey=0"/>
  </connection>
  <connection id="844" name="Connection783" type="4" refreshedVersion="3" background="1" saveData="1">
    <webPr sourceData="1" parsePre="1" consecutive="1" xl2000="1" url="http://cf.umassadmin.net/finance/crosswalk/GetCFData4PA2.cfm?BU=0&amp;SpeedKey=0"/>
  </connection>
  <connection id="845" name="Connection784" type="4" refreshedVersion="2" background="1" saveData="1">
    <webPr sourceData="1" parsePre="1" consecutive="1" xl2000="1" url="http://cf.umassadmin.net/finance/crosswalk/GetCFData4PA2.cfm?BU=0&amp;SpeedKey=0"/>
  </connection>
  <connection id="846" name="Connection785" type="4" refreshedVersion="2" background="1" saveData="1">
    <webPr sourceData="1" parsePre="1" consecutive="1" xl2000="1" url="http://cf.umassadmin.net/finance/crosswalk/GetCFData4PA2.cfm?BU=0&amp;SpeedKey=0"/>
  </connection>
  <connection id="847" name="Connection786" type="4" refreshedVersion="2" background="1" saveData="1">
    <webPr sourceData="1" parsePre="1" consecutive="1" xl2000="1" url="http://cf.umassadmin.net/finance/crosswalk/GetCFData4PA2.cfm?BU=0&amp;SpeedKey=0"/>
  </connection>
  <connection id="848" name="Connection787" type="4" refreshedVersion="3" background="1" saveData="1">
    <webPr sourceData="1" parsePre="1" consecutive="1" xl2000="1" url="http://cf.umassadmin.net/finance/crosswalk/GetCFData4PA2.cfm?BU=0&amp;SpeedKey=0"/>
  </connection>
  <connection id="849" name="Connection788" type="4" refreshedVersion="3" background="1" saveData="1">
    <webPr sourceData="1" parsePre="1" consecutive="1" xl2000="1" url="http://cf.umassadmin.net/finance/crosswalk/GetCFData4PA2.cfm?BU=0&amp;SpeedKey=0"/>
  </connection>
  <connection id="850" name="Connection789" type="4" refreshedVersion="2" background="1" saveData="1">
    <webPr sourceData="1" parsePre="1" consecutive="1" xl2000="1" url="http://cf.umassadmin.net/finance/crosswalk/GetCFData4PA2.cfm?BU=0&amp;SpeedKey=0"/>
  </connection>
  <connection id="851" name="Connection79" type="4" refreshedVersion="2" background="1" saveData="1">
    <webPr sourceData="1" parsePre="1" consecutive="1" xl2000="1" url="http://cf.umassadmin.net/finance/crosswalk/GetCFData4PA.cfm?BU=0&amp;AcctCode=0"/>
  </connection>
  <connection id="852" name="Connection790" type="4" refreshedVersion="2" background="1" saveData="1">
    <webPr sourceData="1" parsePre="1" consecutive="1" xl2000="1" url="http://cf.umassadmin.net/finance/crosswalk/GetCFData4PA2.cfm?BU=0&amp;SpeedKey=0"/>
  </connection>
  <connection id="853" name="Connection791" type="4" refreshedVersion="3" background="1" saveData="1">
    <webPr sourceData="1" parsePre="1" consecutive="1" xl2000="1" url="http://cf.umassadmin.net/finance/crosswalk/GetCFData4PA2.cfm?BU=0&amp;SpeedKey=0"/>
  </connection>
  <connection id="854" name="Connection792" type="4" refreshedVersion="3" background="1" saveData="1">
    <webPr sourceData="1" parsePre="1" consecutive="1" xl2000="1" url="http://cf.umassadmin.net/finance/crosswalk/GetCFData4PA2.cfm?BU=0&amp;SpeedKey=0"/>
  </connection>
  <connection id="855" name="Connection793" type="4" refreshedVersion="2" background="1" saveData="1">
    <webPr sourceData="1" parsePre="1" consecutive="1" xl2000="1" url="http://cf.umassadmin.net/finance/crosswalk/GetCFData4PA2.cfm?BU=0&amp;SpeedKey=0"/>
  </connection>
  <connection id="856" name="Connection794" type="4" refreshedVersion="2" background="1" saveData="1">
    <webPr sourceData="1" parsePre="1" consecutive="1" xl2000="1" url="http://cf.umassadmin.net/finance/crosswalk/GetCFData4PA2.cfm?BU=0&amp;SpeedKey=0"/>
  </connection>
  <connection id="857" name="Connection795" type="4" refreshedVersion="2" background="1" saveData="1">
    <webPr sourceData="1" parsePre="1" consecutive="1" xl2000="1" url="http://cf.umassadmin.net/finance/crosswalk/GetCFData4PA2.cfm?BU=0&amp;SpeedKey=0"/>
  </connection>
  <connection id="858" name="Connection796" type="4" refreshedVersion="3" background="1" saveData="1">
    <webPr sourceData="1" parsePre="1" consecutive="1" xl2000="1" url="http://cf.umassadmin.net/finance/crosswalk/GetCFData4PA2.cfm?BU=0&amp;SpeedKey=0"/>
  </connection>
  <connection id="859" name="Connection797" type="4" refreshedVersion="3" background="1" saveData="1">
    <webPr sourceData="1" parsePre="1" consecutive="1" xl2000="1" url="http://cf.umassadmin.net/finance/crosswalk/GetCFData4PA2.cfm?BU=0&amp;SpeedKey=0"/>
  </connection>
  <connection id="860" name="Connection798" type="4" refreshedVersion="2" background="1" saveData="1">
    <webPr sourceData="1" parsePre="1" consecutive="1" xl2000="1" url="http://cf.umassadmin.net/finance/crosswalk/GetCFData4PA2.cfm?BU=0&amp;SpeedKey=0"/>
  </connection>
  <connection id="861" name="Connection799" type="4" refreshedVersion="3" background="1" saveData="1">
    <webPr sourceData="1" parsePre="1" consecutive="1" xl2000="1" url="http://cf.umassadmin.net/finance/crosswalk/GetCFData4PA2.cfm?BU=0&amp;SpeedKey=0"/>
  </connection>
  <connection id="862" name="Connection8" type="4" refreshedVersion="3" background="1" saveData="1">
    <webPr sourceData="1" parsePre="1" consecutive="1" xl2000="1" url="http://cf.umassadmin.net/finance/crosswalk/GetCFData4PA2.cfm?BU=0&amp;SpeedKey=0"/>
  </connection>
  <connection id="863" name="Connection80" type="4" refreshedVersion="2" background="1" saveData="1">
    <webPr sourceData="1" parsePre="1" consecutive="1" xl2000="1" url="http://cf.umassadmin.net/finance/crosswalk/GetCFData4PA.cfm?BU=0&amp;AcctCode=0"/>
  </connection>
  <connection id="864" name="Connection800" type="4" refreshedVersion="2" background="1" saveData="1">
    <webPr sourceData="1" parsePre="1" consecutive="1" xl2000="1" url="http://cf.umassadmin.net/finance/crosswalk/GetCFData4PA2.cfm?BU=0&amp;SpeedKey=0"/>
  </connection>
  <connection id="865" name="Connection801" type="4" refreshedVersion="3" background="1" saveData="1">
    <webPr sourceData="1" parsePre="1" consecutive="1" xl2000="1" url="http://cf.umassadmin.net/finance/crosswalk/GetCFData4PA2.cfm?BU=0&amp;SpeedKey=0"/>
  </connection>
  <connection id="866" name="Connection802" type="4" refreshedVersion="2" background="1" saveData="1">
    <webPr sourceData="1" parsePre="1" consecutive="1" xl2000="1" url="http://cf.umassadmin.net/finance/crosswalk/GetCFData4PA2.cfm?BU=0&amp;SpeedKey=0"/>
  </connection>
  <connection id="867" name="Connection803" type="4" refreshedVersion="3" background="1" saveData="1">
    <webPr sourceData="1" parsePre="1" consecutive="1" xl2000="1" url="http://cf.umassadmin.net/finance/crosswalk/GetCFData4PA2.cfm?BU=0&amp;SpeedKey=0"/>
  </connection>
  <connection id="868" name="Connection804" type="4" refreshedVersion="2" background="1" saveData="1">
    <webPr sourceData="1" parsePre="1" consecutive="1" xl2000="1" url="http://cf.umassadmin.net/finance/crosswalk/GetCFData4PA2.cfm?BU=0&amp;SpeedKey=0"/>
  </connection>
  <connection id="869" name="Connection805" type="4" refreshedVersion="2" background="1" saveData="1">
    <webPr sourceData="1" parsePre="1" consecutive="1" xl2000="1" url="http://cf.umassadmin.net/finance/crosswalk/GetCFData4PA2.cfm?BU=0&amp;SpeedKey=0"/>
  </connection>
  <connection id="870" name="Connection806" type="4" refreshedVersion="3" background="1" saveData="1">
    <webPr sourceData="1" parsePre="1" consecutive="1" xl2000="1" url="http://cf.umassadmin.net/finance/crosswalk/GetCFData4PA2.cfm?BU=0&amp;SpeedKey=0"/>
  </connection>
  <connection id="871" name="Connection807" type="4" refreshedVersion="3" background="1" saveData="1">
    <webPr sourceData="1" parsePre="1" consecutive="1" xl2000="1" url="http://cf.umassadmin.net/finance/crosswalk/GetCFData4PA2.cfm?BU=0&amp;SpeedKey=0"/>
  </connection>
  <connection id="872" name="Connection808" type="4" refreshedVersion="2" background="1" saveData="1">
    <webPr sourceData="1" parsePre="1" consecutive="1" xl2000="1" url="http://cf.umassadmin.net/finance/crosswalk/GetCFData4PA2.cfm?BU=0&amp;SpeedKey=0"/>
  </connection>
  <connection id="873" name="Connection809" type="4" refreshedVersion="2" background="1" saveData="1">
    <webPr sourceData="1" parsePre="1" consecutive="1" xl2000="1" url="http://cf.umassadmin.net/finance/crosswalk/GetCFData4PA2.cfm?BU=0&amp;SpeedKey=0"/>
  </connection>
  <connection id="874" name="Connection81" type="4" refreshedVersion="2" background="1" saveData="1">
    <webPr sourceData="1" parsePre="1" consecutive="1" xl2000="1" url="http://cf.umassadmin.net/finance/crosswalk/GetCFData4PA.cfm?BU=0&amp;AcctCode=0"/>
  </connection>
  <connection id="875" name="Connection810" type="4" refreshedVersion="3" background="1" saveData="1">
    <webPr sourceData="1" parsePre="1" consecutive="1" xl2000="1" url="http://cf.umassadmin.net/finance/crosswalk/GetCFData4PA2.cfm?BU=0&amp;SpeedKey=0"/>
  </connection>
  <connection id="876" name="Connection811" type="4" refreshedVersion="3" background="1" saveData="1">
    <webPr sourceData="1" parsePre="1" consecutive="1" xl2000="1" url="http://cf.umassadmin.net/finance/crosswalk/GetCFData4PA2.cfm?BU=0&amp;SpeedKey=0"/>
  </connection>
  <connection id="877" name="Connection812" type="4" refreshedVersion="3" background="1" saveData="1">
    <webPr sourceData="1" parsePre="1" consecutive="1" xl2000="1" url="http://cf.umassadmin.net/finance/crosswalk/GetCFData4PA2.cfm?BU=0&amp;SpeedKey=0"/>
  </connection>
  <connection id="878" name="Connection813" type="4" refreshedVersion="3" background="1" saveData="1">
    <webPr sourceData="1" parsePre="1" consecutive="1" xl2000="1" url="http://cf.umassadmin.net/finance/crosswalk/GetCFData4PA2.cfm?BU=0&amp;SpeedKey=0"/>
  </connection>
  <connection id="879" name="Connection814" type="4" refreshedVersion="2" background="1" saveData="1">
    <webPr sourceData="1" parsePre="1" consecutive="1" xl2000="1" url="http://cf.umassadmin.net/finance/crosswalk/GetCFData4PA2.cfm?BU=0&amp;SpeedKey=0"/>
  </connection>
  <connection id="880" name="Connection815" type="4" refreshedVersion="2" background="1" saveData="1">
    <webPr sourceData="1" parsePre="1" consecutive="1" xl2000="1" url="http://cf.umassadmin.net/finance/crosswalk/GetCFData4PA2.cfm?BU=0&amp;SpeedKey=0"/>
  </connection>
  <connection id="881" name="Connection816" type="4" refreshedVersion="2" background="1" saveData="1">
    <webPr sourceData="1" parsePre="1" consecutive="1" xl2000="1" url="http://cf.umassadmin.net/finance/crosswalk/GetCFData4PA2.cfm?BU=0&amp;SpeedKey=0"/>
  </connection>
  <connection id="882" name="Connection817" type="4" refreshedVersion="2" background="1" saveData="1">
    <webPr sourceData="1" parsePre="1" consecutive="1" xl2000="1" url="http://cf.umassadmin.net/finance/crosswalk/GetCFData4PA2.cfm?BU=0&amp;SpeedKey=0"/>
  </connection>
  <connection id="883" name="Connection818" type="4" refreshedVersion="2" background="1" saveData="1">
    <webPr sourceData="1" parsePre="1" consecutive="1" xl2000="1" url="http://cf.umassadmin.net/finance/crosswalk/GetCFData4PA2.cfm?BU=0&amp;SpeedKey=0"/>
  </connection>
  <connection id="884" name="Connection819" type="4" refreshedVersion="2" background="1" saveData="1">
    <webPr sourceData="1" parsePre="1" consecutive="1" xl2000="1" url="http://cf.umassadmin.net/finance/crosswalk/GetCFData4PA2.cfm?BU=0&amp;SpeedKey=0"/>
  </connection>
  <connection id="885" name="Connection82" type="4" refreshedVersion="3" background="1" saveData="1">
    <webPr sourceData="1" parsePre="1" consecutive="1" xl2000="1" url="http://cf.umassadmin.net/finance/crosswalk/GetCFData4PA2.cfm?BU=0&amp;SpeedKey=0"/>
  </connection>
  <connection id="886" name="Connection820" type="4" refreshedVersion="3" background="1" saveData="1">
    <webPr sourceData="1" parsePre="1" consecutive="1" xl2000="1" url="http://cf.umassadmin.net/finance/crosswalk/GetCFData4PA2.cfm?BU=0&amp;SpeedKey=0"/>
  </connection>
  <connection id="887" name="Connection821" type="4" refreshedVersion="3" background="1" saveData="1">
    <webPr sourceData="1" parsePre="1" consecutive="1" xl2000="1" url="http://cf.umassadmin.net/finance/crosswalk/GetCFData4PA2.cfm?BU=0&amp;SpeedKey=0"/>
  </connection>
  <connection id="888" name="Connection822" type="4" refreshedVersion="3" background="1" saveData="1">
    <webPr sourceData="1" parsePre="1" consecutive="1" xl2000="1" url="http://cf.umassadmin.net/finance/crosswalk/GetCFData4PA2.cfm?BU=0&amp;SpeedKey=0"/>
  </connection>
  <connection id="889" name="Connection823" type="4" refreshedVersion="3" background="1" saveData="1">
    <webPr sourceData="1" parsePre="1" consecutive="1" xl2000="1" url="http://cf.umassadmin.net/finance/crosswalk/GetCFData4PA2.cfm?BU=0&amp;SpeedKey=0"/>
  </connection>
  <connection id="890" name="Connection824" type="4" refreshedVersion="3" background="1" saveData="1">
    <webPr sourceData="1" parsePre="1" consecutive="1" xl2000="1" url="http://cf.umassadmin.net/finance/crosswalk/GetCFData4PA2.cfm?BU=0&amp;SpeedKey=0"/>
  </connection>
  <connection id="891" name="Connection825" type="4" refreshedVersion="3" background="1" saveData="1">
    <webPr sourceData="1" parsePre="1" consecutive="1" xl2000="1" url="http://cf.umassadmin.net/finance/crosswalk/GetCFData4PA2.cfm?BU=0&amp;SpeedKey=0"/>
  </connection>
  <connection id="892" name="Connection826" type="4" refreshedVersion="3" background="1" saveData="1">
    <webPr sourceData="1" parsePre="1" consecutive="1" xl2000="1" url="http://cf.umassadmin.net/finance/crosswalk/GetCFData4PA2.cfm?BU=0&amp;SpeedKey=0"/>
  </connection>
  <connection id="893" name="Connection827" type="4" refreshedVersion="2" background="1" saveData="1">
    <webPr sourceData="1" parsePre="1" consecutive="1" xl2000="1" url="http://cf.umassadmin.net/finance/crosswalk/GetCFData4PA2.cfm?BU=0&amp;SpeedKey=0"/>
  </connection>
  <connection id="894" name="Connection828" type="4" refreshedVersion="3" background="1" saveData="1">
    <webPr sourceData="1" parsePre="1" consecutive="1" xl2000="1" url="http://cf.umassadmin.net/finance/crosswalk/GetCFData4PA2.cfm?BU=0&amp;SpeedKey=0"/>
  </connection>
  <connection id="895" name="Connection829" type="4" refreshedVersion="3" background="1" saveData="1">
    <webPr sourceData="1" parsePre="1" consecutive="1" xl2000="1" url="http://cf.umassadmin.net/finance/crosswalk/GetCFData4PA2.cfm?BU=0&amp;SpeedKey=0"/>
  </connection>
  <connection id="896" name="Connection83" type="4" refreshedVersion="2" background="1" saveData="1">
    <webPr sourceData="1" parsePre="1" consecutive="1" xl2000="1" url="http://cf.umassadmin.net/finance/crosswalk/GetCFData4PA.cfm?BU=0&amp;AcctCode=0"/>
  </connection>
  <connection id="897" name="Connection830" type="4" refreshedVersion="2" background="1" saveData="1">
    <webPr sourceData="1" parsePre="1" consecutive="1" xl2000="1" url="http://cf.umassadmin.net/finance/crosswalk/GetCFData4PA2.cfm?BU=0&amp;SpeedKey=0"/>
  </connection>
  <connection id="898" name="Connection831" type="4" refreshedVersion="3" background="1" saveData="1">
    <webPr sourceData="1" parsePre="1" consecutive="1" xl2000="1" url="http://cf.umassadmin.net/finance/crosswalk/GetCFData4PA2.cfm?BU=0&amp;SpeedKey=0"/>
  </connection>
  <connection id="899" name="Connection832" type="4" refreshedVersion="3" background="1" saveData="1">
    <webPr sourceData="1" parsePre="1" consecutive="1" xl2000="1" url="http://cf.umassadmin.net/finance/crosswalk/GetCFData4PA2.cfm?BU=0&amp;SpeedKey=0"/>
  </connection>
  <connection id="900" name="Connection833" type="4" refreshedVersion="3" background="1" saveData="1">
    <webPr sourceData="1" parsePre="1" consecutive="1" xl2000="1" url="http://cf.umassadmin.net/finance/crosswalk/GetCFData4PA2.cfm?BU=0&amp;SpeedKey=0"/>
  </connection>
  <connection id="901" name="Connection834" type="4" refreshedVersion="2" background="1" saveData="1">
    <webPr sourceData="1" parsePre="1" consecutive="1" xl2000="1" url="http://cf.umassadmin.net/finance/crosswalk/GetCFData4PA2.cfm?BU=0&amp;SpeedKey=0"/>
  </connection>
  <connection id="902" name="Connection835" type="4" refreshedVersion="2" background="1" saveData="1">
    <webPr sourceData="1" parsePre="1" consecutive="1" xl2000="1" url="http://cf.umassadmin.net/finance/crosswalk/GetCFData4PA2.cfm?BU=0&amp;SpeedKey=0"/>
  </connection>
  <connection id="903" name="Connection836" type="4" refreshedVersion="2" background="1" saveData="1">
    <webPr sourceData="1" parsePre="1" consecutive="1" xl2000="1" url="http://cf.umassadmin.net/finance/crosswalk/GetCFData4PA2.cfm?BU=0&amp;SpeedKey=0"/>
  </connection>
  <connection id="904" name="Connection837" type="4" refreshedVersion="3" background="1" saveData="1">
    <webPr sourceData="1" parsePre="1" consecutive="1" xl2000="1" url="http://cf.umassadmin.net/finance/crosswalk/GetCFData4PA2.cfm?BU=0&amp;SpeedKey=0"/>
  </connection>
  <connection id="905" name="Connection838" type="4" refreshedVersion="2" background="1" saveData="1">
    <webPr sourceData="1" parsePre="1" consecutive="1" xl2000="1" url="http://cf.umassadmin.net/finance/crosswalk/GetCFData4PA2.cfm?BU=0&amp;SpeedKey=0"/>
  </connection>
  <connection id="906" name="Connection839" type="4" refreshedVersion="3" background="1" saveData="1">
    <webPr sourceData="1" parsePre="1" consecutive="1" xl2000="1" url="http://cf.umassadmin.net/finance/crosswalk/GetCFData4PA2.cfm?BU=0&amp;SpeedKey=0"/>
  </connection>
  <connection id="907" name="Connection84" type="4" refreshedVersion="2" background="1" saveData="1">
    <webPr sourceData="1" parsePre="1" consecutive="1" xl2000="1" url="http://cf.umassadmin.net/finance/crosswalk/GetCFData4PA.cfm?BU=0&amp;AcctCode=0"/>
  </connection>
  <connection id="908" name="Connection840" type="4" refreshedVersion="3" background="1" saveData="1">
    <webPr sourceData="1" parsePre="1" consecutive="1" xl2000="1" url="http://cf.umassadmin.net/finance/crosswalk/GetCFData4PA2.cfm?BU=0&amp;SpeedKey=0"/>
  </connection>
  <connection id="909" name="Connection841" type="4" refreshedVersion="2" background="1" saveData="1">
    <webPr sourceData="1" parsePre="1" consecutive="1" xl2000="1" url="http://cf.umassadmin.net/finance/crosswalk/GetCFData4PA2.cfm?BU=0&amp;SpeedKey=0"/>
  </connection>
  <connection id="910" name="Connection842" type="4" refreshedVersion="3" background="1" saveData="1">
    <webPr sourceData="1" parsePre="1" consecutive="1" xl2000="1" url="http://cf.umassadmin.net/finance/crosswalk/GetCFData4PA2.cfm?BU=0&amp;SpeedKey=0"/>
  </connection>
  <connection id="911" name="Connection843" type="4" refreshedVersion="3" background="1" saveData="1">
    <webPr sourceData="1" parsePre="1" consecutive="1" xl2000="1" url="http://cf.umassadmin.net/finance/crosswalk/GetCFData4PA2.cfm?BU=0&amp;SpeedKey=0"/>
  </connection>
  <connection id="912" name="Connection844" type="4" refreshedVersion="3" background="1" saveData="1">
    <webPr sourceData="1" parsePre="1" consecutive="1" xl2000="1" url="http://cf.umassadmin.net/finance/crosswalk/GetCFData4PA2.cfm?BU=0&amp;SpeedKey=0"/>
  </connection>
  <connection id="913" name="Connection845" type="4" refreshedVersion="2" background="1" saveData="1">
    <webPr sourceData="1" parsePre="1" consecutive="1" xl2000="1" url="http://cf.umassadmin.net/finance/crosswalk/GetCFData4PA2.cfm?BU=0&amp;SpeedKey=0"/>
  </connection>
  <connection id="914" name="Connection846" type="4" refreshedVersion="3" background="1" saveData="1">
    <webPr sourceData="1" parsePre="1" consecutive="1" xl2000="1" url="http://cf.umassadmin.net/finance/crosswalk/GetCFData4PA2.cfm?BU=0&amp;SpeedKey=0"/>
  </connection>
  <connection id="915" name="Connection847" type="4" refreshedVersion="3" background="1" saveData="1">
    <webPr sourceData="1" parsePre="1" consecutive="1" xl2000="1" url="http://cf.umassadmin.net/finance/crosswalk/GetCFData4PA2.cfm?BU=0&amp;SpeedKey=0"/>
  </connection>
  <connection id="916" name="Connection848" type="4" refreshedVersion="2" background="1" saveData="1">
    <webPr sourceData="1" parsePre="1" consecutive="1" xl2000="1" url="http://cf.umassadmin.net/finance/crosswalk/GetCFData4PA2.cfm?BU=0&amp;SpeedKey=0"/>
  </connection>
  <connection id="917" name="Connection849" type="4" refreshedVersion="2" background="1" saveData="1">
    <webPr sourceData="1" parsePre="1" consecutive="1" xl2000="1" url="http://cf.umassadmin.net/finance/crosswalk/GetCFData4PA2.cfm?BU=0&amp;SpeedKey=0"/>
  </connection>
  <connection id="918" name="Connection85" type="4" refreshedVersion="3" background="1" saveData="1">
    <webPr sourceData="1" parsePre="1" consecutive="1" xl2000="1" url="http://cf.umassadmin.net/finance/crosswalk/GetCFData4PA2.cfm?BU=0&amp;SpeedKey=0"/>
  </connection>
  <connection id="919" name="Connection850" type="4" refreshedVersion="3" background="1" saveData="1">
    <webPr sourceData="1" parsePre="1" consecutive="1" xl2000="1" url="http://cf.umassadmin.net/finance/crosswalk/GetCFData4PA2.cfm?BU=0&amp;SpeedKey=0"/>
  </connection>
  <connection id="920" name="Connection851" type="4" refreshedVersion="2" background="1" saveData="1">
    <webPr sourceData="1" parsePre="1" consecutive="1" xl2000="1" url="http://cf.umassadmin.net/finance/crosswalk/GetCFData4PA2.cfm?BU=0&amp;SpeedKey=0"/>
  </connection>
  <connection id="921" name="Connection852" type="4" refreshedVersion="2" background="1" saveData="1">
    <webPr sourceData="1" parsePre="1" consecutive="1" xl2000="1" url="http://cf.umassadmin.net/finance/crosswalk/GetCFData4PA2.cfm?BU=0&amp;SpeedKey=0"/>
  </connection>
  <connection id="922" name="Connection853" type="4" refreshedVersion="3" background="1" saveData="1">
    <webPr sourceData="1" parsePre="1" consecutive="1" xl2000="1" url="http://cf.umassadmin.net/finance/crosswalk/GetCFData4PA2.cfm?BU=0&amp;SpeedKey=0"/>
  </connection>
  <connection id="923" name="Connection854" type="4" refreshedVersion="3" background="1" saveData="1">
    <webPr sourceData="1" parsePre="1" consecutive="1" xl2000="1" url="http://cf.umassadmin.net/finance/crosswalk/GetCFData4PA2.cfm?BU=0&amp;SpeedKey=0"/>
  </connection>
  <connection id="924" name="Connection855" type="4" refreshedVersion="3" background="1" saveData="1">
    <webPr sourceData="1" parsePre="1" consecutive="1" xl2000="1" url="http://cf.umassadmin.net/finance/crosswalk/GetCFData4PA2.cfm?BU=0&amp;SpeedKey=0"/>
  </connection>
  <connection id="925" name="Connection856" type="4" refreshedVersion="3" background="1" saveData="1">
    <webPr sourceData="1" parsePre="1" consecutive="1" xl2000="1" url="http://cf.umassadmin.net/finance/crosswalk/GetCFData4PA2.cfm?BU=0&amp;SpeedKey=0"/>
  </connection>
  <connection id="926" name="Connection857" type="4" refreshedVersion="2" background="1" saveData="1">
    <webPr sourceData="1" parsePre="1" consecutive="1" xl2000="1" url="http://cf.umassadmin.net/finance/crosswalk/GetCFData4PA2.cfm?BU=0&amp;SpeedKey=0"/>
  </connection>
  <connection id="927" name="Connection858" type="4" refreshedVersion="2" background="1" saveData="1">
    <webPr sourceData="1" parsePre="1" consecutive="1" xl2000="1" url="http://cf.umassadmin.net/finance/crosswalk/GetCFData4PA2.cfm?BU=0&amp;SpeedKey=0"/>
  </connection>
  <connection id="928" name="Connection859" type="4" refreshedVersion="3" background="1" saveData="1">
    <webPr sourceData="1" parsePre="1" consecutive="1" xl2000="1" url="http://cf.umassadmin.net/finance/crosswalk/GetCFData4PA2.cfm?BU=0&amp;SpeedKey=0"/>
  </connection>
  <connection id="929" name="Connection86" type="4" refreshedVersion="2" background="1" saveData="1">
    <webPr sourceData="1" parsePre="1" consecutive="1" xl2000="1" url="http://cf.umassadmin.net/finance/crosswalk/GetCFData4PA.cfm?BU=0&amp;AcctCode=0"/>
  </connection>
  <connection id="930" name="Connection860" type="4" refreshedVersion="2" background="1" saveData="1">
    <webPr sourceData="1" parsePre="1" consecutive="1" xl2000="1" url="http://cf.umassadmin.net/finance/crosswalk/GetCFData4PA2.cfm?BU=0&amp;SpeedKey=0"/>
  </connection>
  <connection id="931" name="Connection861" type="4" refreshedVersion="2" background="1" saveData="1">
    <webPr sourceData="1" parsePre="1" consecutive="1" xl2000="1" url="http://cf.umassadmin.net/finance/crosswalk/GetCFData4PA2.cfm?BU=0&amp;SpeedKey=0"/>
  </connection>
  <connection id="932" name="Connection862" type="4" refreshedVersion="2" background="1" saveData="1">
    <webPr sourceData="1" parsePre="1" consecutive="1" xl2000="1" url="http://cf.umassadmin.net/finance/crosswalk/GetCFData4PA2.cfm?BU=0&amp;SpeedKey=0"/>
  </connection>
  <connection id="933" name="Connection863" type="4" refreshedVersion="2" background="1" saveData="1">
    <webPr sourceData="1" parsePre="1" consecutive="1" xl2000="1" url="http://cf.umassadmin.net/finance/crosswalk/GetCFData4PA2.cfm?BU=0&amp;SpeedKey=0"/>
  </connection>
  <connection id="934" name="Connection864" type="4" refreshedVersion="2" background="1" saveData="1">
    <webPr sourceData="1" parsePre="1" consecutive="1" xl2000="1" url="http://cf.umassadmin.net/finance/crosswalk/GetCFData4PA2.cfm?BU=0&amp;SpeedKey=0"/>
  </connection>
  <connection id="935" name="Connection865" type="4" refreshedVersion="2" background="1" saveData="1">
    <webPr sourceData="1" parsePre="1" consecutive="1" xl2000="1" url="http://cf.umassadmin.net/finance/crosswalk/GetCFData4PA2.cfm?BU=0&amp;SpeedKey=0"/>
  </connection>
  <connection id="936" name="Connection866" type="4" refreshedVersion="3" background="1" saveData="1">
    <webPr sourceData="1" parsePre="1" consecutive="1" xl2000="1" url="http://cf.umassadmin.net/finance/crosswalk/GetCFData4PA2.cfm?BU=0&amp;SpeedKey=0"/>
  </connection>
  <connection id="937" name="Connection867" type="4" refreshedVersion="2" background="1" saveData="1">
    <webPr sourceData="1" parsePre="1" consecutive="1" xl2000="1" url="http://cf.umassadmin.net/finance/crosswalk/GetCFData4PA2.cfm?BU=0&amp;SpeedKey=0"/>
  </connection>
  <connection id="938" name="Connection868" type="4" refreshedVersion="3" background="1" saveData="1">
    <webPr sourceData="1" parsePre="1" consecutive="1" xl2000="1" url="http://cf.umassadmin.net/finance/crosswalk/GetCFData4PA2.cfm?BU=0&amp;SpeedKey=0"/>
  </connection>
  <connection id="939" name="Connection869" type="4" refreshedVersion="3" background="1" saveData="1">
    <webPr sourceData="1" parsePre="1" consecutive="1" xl2000="1" url="http://cf.umassadmin.net/finance/crosswalk/GetCFData4PA2.cfm?BU=0&amp;SpeedKey=0"/>
  </connection>
  <connection id="940" name="Connection87" type="4" refreshedVersion="2" background="1" saveData="1">
    <webPr sourceData="1" parsePre="1" consecutive="1" xl2000="1" url="http://cf.umassadmin.net/finance/crosswalk/GetCFData4PA.cfm?BU=0&amp;AcctCode=0"/>
  </connection>
  <connection id="941" name="Connection870" type="4" refreshedVersion="3" background="1" saveData="1">
    <webPr sourceData="1" parsePre="1" consecutive="1" xl2000="1" url="http://cf.umassadmin.net/finance/crosswalk/GetCFData4PA2.cfm?BU=0&amp;SpeedKey=0"/>
  </connection>
  <connection id="942" name="Connection871" type="4" refreshedVersion="3" background="1" saveData="1">
    <webPr sourceData="1" parsePre="1" consecutive="1" xl2000="1" url="http://cf.umassadmin.net/finance/crosswalk/GetCFData4PA2.cfm?BU=0&amp;SpeedKey=0"/>
  </connection>
  <connection id="943" name="Connection872" type="4" refreshedVersion="3" background="1" saveData="1">
    <webPr sourceData="1" parsePre="1" consecutive="1" xl2000="1" url="http://cf.umassadmin.net/finance/crosswalk/GetCFData4PA2.cfm?BU=0&amp;SpeedKey=0"/>
  </connection>
  <connection id="944" name="Connection873" type="4" refreshedVersion="2" background="1" saveData="1">
    <webPr sourceData="1" parsePre="1" consecutive="1" xl2000="1" url="http://cf.umassadmin.net/finance/crosswalk/GetCFData4PA2.cfm?BU=0&amp;SpeedKey=0"/>
  </connection>
  <connection id="945" name="Connection874" type="4" refreshedVersion="2" background="1" saveData="1">
    <webPr sourceData="1" parsePre="1" consecutive="1" xl2000="1" url="http://cf.umassadmin.net/finance/crosswalk/GetCFData4PA2.cfm?BU=0&amp;SpeedKey=0"/>
  </connection>
  <connection id="946" name="Connection875" type="4" refreshedVersion="2" background="1" saveData="1">
    <webPr sourceData="1" parsePre="1" consecutive="1" xl2000="1" url="http://cf.umassadmin.net/finance/crosswalk/GetCFData4PA2.cfm?BU=0&amp;SpeedKey=0"/>
  </connection>
  <connection id="947" name="Connection876" type="4" refreshedVersion="3" background="1" saveData="1">
    <webPr sourceData="1" parsePre="1" consecutive="1" xl2000="1" url="http://cf.umassadmin.net/finance/crosswalk/GetCFData4PA2.cfm?BU=0&amp;SpeedKey=0"/>
  </connection>
  <connection id="948" name="Connection877" type="4" refreshedVersion="2" background="1" saveData="1">
    <webPr sourceData="1" parsePre="1" consecutive="1" xl2000="1" url="http://cf.umassadmin.net/finance/crosswalk/GetCFData4PA2.cfm?BU=0&amp;SpeedKey=0"/>
  </connection>
  <connection id="949" name="Connection878" type="4" refreshedVersion="3" background="1" saveData="1">
    <webPr sourceData="1" parsePre="1" consecutive="1" xl2000="1" url="http://cf.umassadmin.net/finance/crosswalk/GetCFData4PA2.cfm?BU=0&amp;SpeedKey=0"/>
  </connection>
  <connection id="950" name="Connection879" type="4" refreshedVersion="3" background="1" saveData="1">
    <webPr sourceData="1" parsePre="1" consecutive="1" xl2000="1" url="http://cf.umassadmin.net/finance/crosswalk/GetCFData4PA2.cfm?BU=0&amp;SpeedKey=0"/>
  </connection>
  <connection id="951" name="Connection88" type="4" refreshedVersion="2" background="1" saveData="1">
    <webPr sourceData="1" parsePre="1" consecutive="1" xl2000="1" url="http://cf.umassadmin.net/finance/crosswalk/GetCFData4PA.cfm?BU=0&amp;AcctCode=0"/>
  </connection>
  <connection id="952" name="Connection880" type="4" refreshedVersion="2" background="1" saveData="1">
    <webPr sourceData="1" parsePre="1" consecutive="1" xl2000="1" url="http://cf.umassadmin.net/finance/crosswalk/GetCFData4PA2.cfm?BU=0&amp;SpeedKey=0"/>
  </connection>
  <connection id="953" name="Connection881" type="4" refreshedVersion="2" background="1" saveData="1">
    <webPr sourceData="1" parsePre="1" consecutive="1" xl2000="1" url="http://cf.umassadmin.net/finance/crosswalk/GetCFData4PA2.cfm?BU=0&amp;SpeedKey=0"/>
  </connection>
  <connection id="954" name="Connection882" type="4" refreshedVersion="2" background="1" saveData="1">
    <webPr sourceData="1" parsePre="1" consecutive="1" xl2000="1" url="http://cf.umassadmin.net/finance/crosswalk/GetCFData4PA2.cfm?BU=0&amp;SpeedKey=0"/>
  </connection>
  <connection id="955" name="Connection883" type="4" refreshedVersion="2" background="1" saveData="1">
    <webPr sourceData="1" parsePre="1" consecutive="1" xl2000="1" url="http://cf.umassadmin.net/finance/crosswalk/GetCFData4PA2.cfm?BU=0&amp;SpeedKey=0"/>
  </connection>
  <connection id="956" name="Connection884" type="4" refreshedVersion="2" background="1" saveData="1">
    <webPr sourceData="1" parsePre="1" consecutive="1" xl2000="1" url="http://cf.umassadmin.net/finance/crosswalk/GetCFData4PA2.cfm?BU=0&amp;SpeedKey=0"/>
  </connection>
  <connection id="957" name="Connection885" type="4" refreshedVersion="3" background="1" saveData="1">
    <webPr sourceData="1" parsePre="1" consecutive="1" xl2000="1" url="http://cf.umassadmin.net/finance/crosswalk/GetCFData4PA2.cfm?BU=0&amp;SpeedKey=0"/>
  </connection>
  <connection id="958" name="Connection886" type="4" refreshedVersion="2" background="1" saveData="1">
    <webPr sourceData="1" parsePre="1" consecutive="1" xl2000="1" url="http://cf.umassadmin.net/finance/crosswalk/GetCFData4PA2.cfm?BU=0&amp;SpeedKey=0"/>
  </connection>
  <connection id="959" name="Connection887" type="4" refreshedVersion="2" background="1" saveData="1">
    <webPr sourceData="1" parsePre="1" consecutive="1" xl2000="1" url="http://cf.umassadmin.net/finance/crosswalk/GetCFData4PA2.cfm?BU=0&amp;SpeedKey=0"/>
  </connection>
  <connection id="960" name="Connection888" type="4" refreshedVersion="3" background="1" saveData="1">
    <webPr sourceData="1" parsePre="1" consecutive="1" xl2000="1" url="http://cf.umassadmin.net/finance/crosswalk/GetCFData4PA2.cfm?BU=0&amp;SpeedKey=0"/>
  </connection>
  <connection id="961" name="Connection889" type="4" refreshedVersion="3" background="1" saveData="1">
    <webPr sourceData="1" parsePre="1" consecutive="1" xl2000="1" url="http://cf.umassadmin.net/finance/crosswalk/GetCFData4PA2.cfm?BU=0&amp;SpeedKey=0"/>
  </connection>
  <connection id="962" name="Connection89" type="4" refreshedVersion="2" background="1" saveData="1">
    <webPr sourceData="1" parsePre="1" consecutive="1" xl2000="1" url="http://cf.umassadmin.net/finance/crosswalk/GetCFData4PA.cfm?BU=0&amp;AcctCode=0"/>
  </connection>
  <connection id="963" name="Connection890" type="4" refreshedVersion="3" background="1" saveData="1">
    <webPr sourceData="1" parsePre="1" consecutive="1" xl2000="1" url="http://cf.umassadmin.net/finance/crosswalk/GetCFData4PA2.cfm?BU=0&amp;SpeedKey=0"/>
  </connection>
  <connection id="964" name="Connection891" type="4" refreshedVersion="3" background="1" saveData="1">
    <webPr sourceData="1" parsePre="1" consecutive="1" xl2000="1" url="http://cf.umassadmin.net/finance/crosswalk/GetCFData4PA2.cfm?BU=0&amp;SpeedKey=0"/>
  </connection>
  <connection id="965" name="Connection892" type="4" refreshedVersion="3" background="1" saveData="1">
    <webPr sourceData="1" parsePre="1" consecutive="1" xl2000="1" url="http://cf.umassadmin.net/finance/crosswalk/GetCFData4PA2.cfm?BU=0&amp;SpeedKey=0"/>
  </connection>
  <connection id="966" name="Connection893" type="4" refreshedVersion="3" background="1" saveData="1">
    <webPr sourceData="1" parsePre="1" consecutive="1" xl2000="1" url="http://cf.umassadmin.net/finance/crosswalk/GetCFData4PA2.cfm?BU=0&amp;SpeedKey=0"/>
  </connection>
  <connection id="967" name="Connection894" type="4" refreshedVersion="2" background="1" saveData="1">
    <webPr sourceData="1" parsePre="1" consecutive="1" xl2000="1" url="http://cf.umassadmin.net/finance/crosswalk/GetCFData4PA2.cfm?BU=0&amp;SpeedKey=0"/>
  </connection>
  <connection id="968" name="Connection895" type="4" refreshedVersion="2" background="1" saveData="1">
    <webPr sourceData="1" parsePre="1" consecutive="1" xl2000="1" url="http://cf.umassadmin.net/finance/crosswalk/GetCFData4PA2.cfm?BU=0&amp;SpeedKey=0"/>
  </connection>
  <connection id="969" name="Connection896" type="4" refreshedVersion="3" background="1" saveData="1">
    <webPr sourceData="1" parsePre="1" consecutive="1" xl2000="1" url="http://cf.umassadmin.net/finance/crosswalk/GetCFData4PA2.cfm?BU=0&amp;SpeedKey=0"/>
  </connection>
  <connection id="970" name="Connection897" type="4" refreshedVersion="2" background="1" saveData="1">
    <webPr sourceData="1" parsePre="1" consecutive="1" xl2000="1" url="http://cf.umassadmin.net/finance/crosswalk/GetCFData4PA2.cfm?BU=0&amp;SpeedKey=0"/>
  </connection>
  <connection id="971" name="Connection898" type="4" refreshedVersion="3" background="1" saveData="1">
    <webPr sourceData="1" parsePre="1" consecutive="1" xl2000="1" url="http://cf.umassadmin.net/finance/crosswalk/GetCFData4PA2.cfm?BU=0&amp;SpeedKey=0"/>
  </connection>
  <connection id="972" name="Connection899" type="4" refreshedVersion="3" background="1" saveData="1">
    <webPr sourceData="1" parsePre="1" consecutive="1" xl2000="1" url="http://cf.umassadmin.net/finance/crosswalk/GetCFData4PA2.cfm?BU=0&amp;SpeedKey=0"/>
  </connection>
  <connection id="973" name="Connection9" type="4" refreshedVersion="3" background="1" saveData="1">
    <webPr sourceData="1" parsePre="1" consecutive="1" xl2000="1" url="http://cf.umassadmin.net/finance/crosswalk/GetCFData4PA2.cfm?BU=0&amp;SpeedKey=0"/>
  </connection>
  <connection id="974" name="Connection90" type="4" refreshedVersion="3" background="1" saveData="1">
    <webPr sourceData="1" parsePre="1" consecutive="1" xl2000="1" url="http://cf.umassadmin.net/finance/crosswalk/GetCFData4PA2.cfm?BU=0&amp;SpeedKey=0"/>
  </connection>
  <connection id="975" name="Connection900" type="4" refreshedVersion="3" background="1" saveData="1">
    <webPr sourceData="1" parsePre="1" consecutive="1" xl2000="1" url="http://cf.umassadmin.net/finance/crosswalk/GetCFData4PA2.cfm?BU=0&amp;SpeedKey=0"/>
  </connection>
  <connection id="976" name="Connection901" type="4" refreshedVersion="3" background="1" saveData="1">
    <webPr sourceData="1" parsePre="1" consecutive="1" xl2000="1" url="http://cf.umassadmin.net/finance/crosswalk/GetCFData4PA2.cfm?BU=0&amp;SpeedKey=0"/>
  </connection>
  <connection id="977" name="Connection902" type="4" refreshedVersion="2" background="1" saveData="1">
    <webPr sourceData="1" parsePre="1" consecutive="1" xl2000="1" url="http://cf.umassadmin.net/finance/crosswalk/GetCFData4PA2.cfm?BU=0&amp;SpeedKey=0"/>
  </connection>
  <connection id="978" name="Connection903" type="4" refreshedVersion="3" background="1" saveData="1">
    <webPr sourceData="1" parsePre="1" consecutive="1" xl2000="1" url="http://cf.umassadmin.net/finance/crosswalk/GetCFData4PA2.cfm?BU=0&amp;SpeedKey=0"/>
  </connection>
  <connection id="979" name="Connection904" type="4" refreshedVersion="2" background="1" saveData="1">
    <webPr sourceData="1" parsePre="1" consecutive="1" xl2000="1" url="http://cf.umassadmin.net/finance/crosswalk/GetCFData4PA2.cfm?BU=0&amp;SpeedKey=0"/>
  </connection>
  <connection id="980" name="Connection905" type="4" refreshedVersion="3" background="1" saveData="1">
    <webPr sourceData="1" parsePre="1" consecutive="1" xl2000="1" url="http://cf.umassadmin.net/finance/crosswalk/GetCFData4PA2.cfm?BU=0&amp;SpeedKey=0"/>
  </connection>
  <connection id="981" name="Connection906" type="4" refreshedVersion="3" background="1" saveData="1">
    <webPr sourceData="1" parsePre="1" consecutive="1" xl2000="1" url="http://cf.umassadmin.net/finance/crosswalk/GetCFData4PA2.cfm?BU=0&amp;SpeedKey=0"/>
  </connection>
  <connection id="982" name="Connection907" type="4" refreshedVersion="3" background="1" saveData="1">
    <webPr sourceData="1" parsePre="1" consecutive="1" xl2000="1" url="http://cf.umassadmin.net/finance/crosswalk/GetCFData4PA2.cfm?BU=0&amp;SpeedKey=0"/>
  </connection>
  <connection id="983" name="Connection908" type="4" refreshedVersion="2" background="1" saveData="1">
    <webPr sourceData="1" parsePre="1" consecutive="1" xl2000="1" url="http://cf.umassadmin.net/finance/crosswalk/GetCFData4PA2.cfm?BU=0&amp;SpeedKey=0"/>
  </connection>
  <connection id="984" name="Connection909" type="4" refreshedVersion="3" background="1" saveData="1">
    <webPr sourceData="1" parsePre="1" consecutive="1" xl2000="1" url="http://cf.umassadmin.net/finance/crosswalk/GetCFData4PA2.cfm?BU=0&amp;SpeedKey=0"/>
  </connection>
  <connection id="985" name="Connection91" type="4" refreshedVersion="3" background="1" saveData="1">
    <webPr sourceData="1" parsePre="1" consecutive="1" xl2000="1" url="http://cf.umassadmin.net/finance/crosswalk/GetCFData4PA2.cfm?BU=0&amp;SpeedKey=0"/>
  </connection>
  <connection id="986" name="Connection910" type="4" refreshedVersion="2" background="1" saveData="1">
    <webPr sourceData="1" parsePre="1" consecutive="1" xl2000="1" url="http://cf.umassadmin.net/finance/crosswalk/GetCFData4PA2.cfm?BU=0&amp;SpeedKey=0"/>
  </connection>
  <connection id="987" name="Connection911" type="4" refreshedVersion="2" background="1" saveData="1">
    <webPr sourceData="1" parsePre="1" consecutive="1" xl2000="1" url="http://cf.umassadmin.net/finance/crosswalk/GetCFData4PA2.cfm?BU=0&amp;SpeedKey=0"/>
  </connection>
  <connection id="988" name="Connection912" type="4" refreshedVersion="2" background="1" saveData="1">
    <webPr sourceData="1" parsePre="1" consecutive="1" xl2000="1" url="http://cf.umassadmin.net/finance/crosswalk/GetCFData4PA2.cfm?BU=0&amp;SpeedKey=0"/>
  </connection>
  <connection id="989" name="Connection913" type="4" refreshedVersion="3" background="1" saveData="1">
    <webPr sourceData="1" parsePre="1" consecutive="1" xl2000="1" url="http://cf.umassadmin.net/finance/crosswalk/GetCFData4PA2.cfm?BU=0&amp;SpeedKey=0"/>
  </connection>
  <connection id="990" name="Connection914" type="4" refreshedVersion="2" background="1" saveData="1">
    <webPr sourceData="1" parsePre="1" consecutive="1" xl2000="1" url="http://cf.umassadmin.net/finance/crosswalk/GetCFData4PA2.cfm?BU=0&amp;SpeedKey=0"/>
  </connection>
  <connection id="991" name="Connection915" type="4" refreshedVersion="3" background="1" saveData="1">
    <webPr sourceData="1" parsePre="1" consecutive="1" xl2000="1" url="http://cf.umassadmin.net/finance/crosswalk/GetCFData4PA2.cfm?BU=0&amp;SpeedKey=0"/>
  </connection>
  <connection id="992" name="Connection916" type="4" refreshedVersion="3" background="1" saveData="1">
    <webPr sourceData="1" parsePre="1" consecutive="1" xl2000="1" url="http://cf.umassadmin.net/finance/crosswalk/GetCFData4PA2.cfm?BU=0&amp;SpeedKey=0"/>
  </connection>
  <connection id="993" name="Connection917" type="4" refreshedVersion="3" background="1" saveData="1">
    <webPr sourceData="1" parsePre="1" consecutive="1" xl2000="1" url="http://cf.umassadmin.net/finance/crosswalk/GetCFData4PA2.cfm?BU=0&amp;SpeedKey=0"/>
  </connection>
  <connection id="994" name="Connection918" type="4" refreshedVersion="3" background="1" saveData="1">
    <webPr sourceData="1" parsePre="1" consecutive="1" xl2000="1" url="http://cf.umassadmin.net/finance/crosswalk/GetCFData4PA2.cfm?BU=0&amp;SpeedKey=0"/>
  </connection>
  <connection id="995" name="Connection919" type="4" refreshedVersion="3" background="1" saveData="1">
    <webPr sourceData="1" parsePre="1" consecutive="1" xl2000="1" url="http://cf.umassadmin.net/finance/crosswalk/GetCFData4PA2.cfm?BU=0&amp;SpeedKey=0"/>
  </connection>
  <connection id="996" name="Connection92" type="4" refreshedVersion="3" background="1" saveData="1">
    <webPr sourceData="1" parsePre="1" consecutive="1" xl2000="1" url="http://cf.umassadmin.net/finance/crosswalk/GetCFData4PA2.cfm?BU=0&amp;SpeedKey=0"/>
  </connection>
  <connection id="997" name="Connection920" type="4" refreshedVersion="2" background="1" saveData="1">
    <webPr sourceData="1" parsePre="1" consecutive="1" xl2000="1" url="http://cf.umassadmin.net/finance/crosswalk/GetCFData4PA2.cfm?BU=0&amp;SpeedKey=0"/>
  </connection>
  <connection id="998" name="Connection921" type="4" refreshedVersion="2" background="1" saveData="1">
    <webPr sourceData="1" parsePre="1" consecutive="1" xl2000="1" url="http://cf.umassadmin.net/finance/crosswalk/GetCFData4PA2.cfm?BU=0&amp;SpeedKey=0"/>
  </connection>
  <connection id="999" name="Connection922" type="4" refreshedVersion="3" background="1" saveData="1">
    <webPr sourceData="1" parsePre="1" consecutive="1" xl2000="1" url="http://cf.umassadmin.net/finance/crosswalk/GetCFData4PA2.cfm?BU=0&amp;SpeedKey=0"/>
  </connection>
  <connection id="1000" name="Connection923" type="4" refreshedVersion="2" background="1" saveData="1">
    <webPr sourceData="1" parsePre="1" consecutive="1" xl2000="1" url="http://cf.umassadmin.net/finance/crosswalk/GetCFData4PA2.cfm?BU=0&amp;SpeedKey=0"/>
  </connection>
  <connection id="1001" name="Connection924" type="4" refreshedVersion="3" background="1" saveData="1">
    <webPr sourceData="1" parsePre="1" consecutive="1" xl2000="1" url="http://cf.umassadmin.net/finance/crosswalk/GetCFData4PA2.cfm?BU=0&amp;SpeedKey=0"/>
  </connection>
  <connection id="1002" name="Connection925" type="4" refreshedVersion="3" background="1" saveData="1">
    <webPr sourceData="1" parsePre="1" consecutive="1" xl2000="1" url="http://cf.umassadmin.net/finance/crosswalk/GetCFData4PA2.cfm?BU=0&amp;SpeedKey=0"/>
  </connection>
  <connection id="1003" name="Connection926" type="4" refreshedVersion="2" background="1" saveData="1">
    <webPr sourceData="1" parsePre="1" consecutive="1" xl2000="1" url="http://cf.umassadmin.net/finance/crosswalk/GetCFData4PA2.cfm?BU=0&amp;SpeedKey=0"/>
  </connection>
  <connection id="1004" name="Connection927" type="4" refreshedVersion="2" background="1" saveData="1">
    <webPr sourceData="1" parsePre="1" consecutive="1" xl2000="1" url="http://cf.umassadmin.net/finance/crosswalk/GetCFData4PA2.cfm?BU=0&amp;SpeedKey=0"/>
  </connection>
  <connection id="1005" name="Connection928" type="4" refreshedVersion="2" background="1" saveData="1">
    <webPr sourceData="1" parsePre="1" consecutive="1" xl2000="1" url="http://cf.umassadmin.net/finance/crosswalk/GetCFData4PA2.cfm?BU=0&amp;SpeedKey=0"/>
  </connection>
  <connection id="1006" name="Connection929" type="4" refreshedVersion="3" background="1" saveData="1">
    <webPr sourceData="1" parsePre="1" consecutive="1" xl2000="1" url="http://cf.umassadmin.net/finance/crosswalk/GetCFData4PA2.cfm?BU=0&amp;SpeedKey=0"/>
  </connection>
  <connection id="1007" name="Connection93" type="4" refreshedVersion="3" background="1" saveData="1">
    <webPr sourceData="1" parsePre="1" consecutive="1" xl2000="1" url="http://cf.umassadmin.net/finance/crosswalk/GetCFData4PA2.cfm?BU=0&amp;SpeedKey=0"/>
  </connection>
  <connection id="1008" name="Connection930" type="4" refreshedVersion="3" background="1" saveData="1">
    <webPr sourceData="1" parsePre="1" consecutive="1" xl2000="1" url="http://cf.umassadmin.net/finance/crosswalk/GetCFData4PA2.cfm?BU=0&amp;SpeedKey=0"/>
  </connection>
  <connection id="1009" name="Connection931" type="4" refreshedVersion="2" background="1" saveData="1">
    <webPr sourceData="1" parsePre="1" consecutive="1" xl2000="1" url="http://cf.umassadmin.net/finance/crosswalk/GetCFData4PA2.cfm?BU=0&amp;SpeedKey=0"/>
  </connection>
  <connection id="1010" name="Connection932" type="4" refreshedVersion="2" background="1" saveData="1">
    <webPr sourceData="1" parsePre="1" consecutive="1" xl2000="1" url="http://cf.umassadmin.net/finance/crosswalk/GetCFData4PA2.cfm?BU=0&amp;SpeedKey=0"/>
  </connection>
  <connection id="1011" name="Connection933" type="4" refreshedVersion="2" background="1" saveData="1">
    <webPr sourceData="1" parsePre="1" consecutive="1" xl2000="1" url="http://cf.umassadmin.net/finance/crosswalk/GetCFData4PA2.cfm?BU=0&amp;SpeedKey=0"/>
  </connection>
  <connection id="1012" name="Connection934" type="4" refreshedVersion="3" background="1" saveData="1">
    <webPr sourceData="1" parsePre="1" consecutive="1" xl2000="1" url="http://cf.umassadmin.net/finance/crosswalk/GetCFData4PA2.cfm?BU=0&amp;SpeedKey=0"/>
  </connection>
  <connection id="1013" name="Connection935" type="4" refreshedVersion="3" background="1" saveData="1">
    <webPr sourceData="1" parsePre="1" consecutive="1" xl2000="1" url="http://cf.umassadmin.net/finance/crosswalk/GetCFData4PA2.cfm?BU=0&amp;SpeedKey=0"/>
  </connection>
  <connection id="1014" name="Connection936" type="4" refreshedVersion="2" background="1" saveData="1">
    <webPr sourceData="1" parsePre="1" consecutive="1" xl2000="1" url="http://cf.umassadmin.net/finance/crosswalk/GetCFData4PA2.cfm?BU=0&amp;SpeedKey=0"/>
  </connection>
  <connection id="1015" name="Connection937" type="4" refreshedVersion="2" background="1" saveData="1">
    <webPr sourceData="1" parsePre="1" consecutive="1" xl2000="1" url="http://cf.umassadmin.net/finance/crosswalk/GetCFData4PA2.cfm?BU=0&amp;SpeedKey=0"/>
  </connection>
  <connection id="1016" name="Connection938" type="4" refreshedVersion="2" background="1" saveData="1">
    <webPr sourceData="1" parsePre="1" consecutive="1" xl2000="1" url="http://cf.umassadmin.net/finance/crosswalk/GetCFData4PA2.cfm?BU=0&amp;SpeedKey=0"/>
  </connection>
  <connection id="1017" name="Connection939" type="4" refreshedVersion="2" background="1" saveData="1">
    <webPr sourceData="1" parsePre="1" consecutive="1" xl2000="1" url="http://cf.umassadmin.net/finance/crosswalk/GetCFData4PA2.cfm?BU=0&amp;SpeedKey=0"/>
  </connection>
  <connection id="1018" name="Connection94" type="4" refreshedVersion="3" background="1" saveData="1">
    <webPr sourceData="1" parsePre="1" consecutive="1" xl2000="1" url="http://cf.umassadmin.net/finance/crosswalk/GetCFData4PA2.cfm?BU=0&amp;SpeedKey=0"/>
  </connection>
  <connection id="1019" name="Connection940" type="4" refreshedVersion="2" background="1" saveData="1">
    <webPr sourceData="1" parsePre="1" consecutive="1" xl2000="1" url="http://cf.umassadmin.net/finance/crosswalk/GetCFData4PA2.cfm?BU=0&amp;SpeedKey=0"/>
  </connection>
  <connection id="1020" name="Connection941" type="4" refreshedVersion="3" background="1" saveData="1">
    <webPr sourceData="1" parsePre="1" consecutive="1" xl2000="1" url="http://cf.umassadmin.net/finance/crosswalk/GetCFData4PA2.cfm?BU=0&amp;SpeedKey=0"/>
  </connection>
  <connection id="1021" name="Connection942" type="4" refreshedVersion="2" background="1" saveData="1">
    <webPr sourceData="1" parsePre="1" consecutive="1" xl2000="1" url="http://cf.umassadmin.net/finance/crosswalk/GetCFData4PA2.cfm?BU=0&amp;SpeedKey=0"/>
  </connection>
  <connection id="1022" name="Connection943" type="4" refreshedVersion="2" background="1" saveData="1">
    <webPr sourceData="1" parsePre="1" consecutive="1" xl2000="1" url="http://cf.umassadmin.net/finance/crosswalk/GetCFData4PA2.cfm?BU=0&amp;SpeedKey=0"/>
  </connection>
  <connection id="1023" name="Connection944" type="4" refreshedVersion="2" background="1" saveData="1">
    <webPr sourceData="1" parsePre="1" consecutive="1" xl2000="1" url="http://cf.umassadmin.net/finance/crosswalk/GetCFData4PA2.cfm?BU=0&amp;SpeedKey=0"/>
  </connection>
  <connection id="1024" name="Connection945" type="4" refreshedVersion="2" background="1" saveData="1">
    <webPr sourceData="1" parsePre="1" consecutive="1" xl2000="1" url="http://cf.umassadmin.net/finance/crosswalk/GetCFData4PA2.cfm?BU=0&amp;SpeedKey=0"/>
  </connection>
  <connection id="1025" name="Connection946" type="4" refreshedVersion="3" background="1" saveData="1">
    <webPr sourceData="1" parsePre="1" consecutive="1" xl2000="1" url="http://cf.umassadmin.net/finance/crosswalk/GetCFData4PA2.cfm?BU=0&amp;SpeedKey=0"/>
  </connection>
  <connection id="1026" name="Connection947" type="4" refreshedVersion="2" background="1" saveData="1">
    <webPr sourceData="1" parsePre="1" consecutive="1" xl2000="1" url="http://cf.umassadmin.net/finance/crosswalk/GetCFData4PA2.cfm?BU=0&amp;SpeedKey=0"/>
  </connection>
  <connection id="1027" name="Connection948" type="4" refreshedVersion="2" background="1" saveData="1">
    <webPr sourceData="1" parsePre="1" consecutive="1" xl2000="1" url="http://cf.umassadmin.net/finance/crosswalk/GetCFData4PA2.cfm?BU=0&amp;SpeedKey=0"/>
  </connection>
  <connection id="1028" name="Connection949" type="4" refreshedVersion="2" background="1" saveData="1">
    <webPr sourceData="1" parsePre="1" consecutive="1" xl2000="1" url="http://cf.umassadmin.net/finance/crosswalk/GetCFData4PA2.cfm?BU=0&amp;SpeedKey=0"/>
  </connection>
  <connection id="1029" name="Connection95" type="4" refreshedVersion="2" background="1" saveData="1">
    <webPr sourceData="1" parsePre="1" consecutive="1" xl2000="1" url="http://cf.umassadmin.net/finance/crosswalk/GetCFData4PA.cfm?BU=0&amp;AcctCode=0"/>
  </connection>
  <connection id="1030" name="Connection950" type="4" refreshedVersion="3" background="1" saveData="1">
    <webPr sourceData="1" parsePre="1" consecutive="1" xl2000="1" url="http://cf.umassadmin.net/finance/crosswalk/GetCFData4PA2.cfm?BU=0&amp;SpeedKey=0"/>
  </connection>
  <connection id="1031" name="Connection951" type="4" refreshedVersion="3" background="1" saveData="1">
    <webPr sourceData="1" parsePre="1" consecutive="1" xl2000="1" url="http://cf.umassadmin.net/finance/crosswalk/GetCFData4PA2.cfm?BU=0&amp;SpeedKey=0"/>
  </connection>
  <connection id="1032" name="Connection952" type="4" refreshedVersion="3" background="1" saveData="1">
    <webPr sourceData="1" parsePre="1" consecutive="1" xl2000="1" url="http://cf.umassadmin.net/finance/crosswalk/GetCFData4PA2.cfm?BU=0&amp;SpeedKey=0"/>
  </connection>
  <connection id="1033" name="Connection953" type="4" refreshedVersion="3" background="1" saveData="1">
    <webPr sourceData="1" parsePre="1" consecutive="1" xl2000="1" url="http://cf.umassadmin.net/finance/crosswalk/GetCFData4PA2.cfm?BU=0&amp;SpeedKey=0"/>
  </connection>
  <connection id="1034" name="Connection954" type="4" refreshedVersion="2" background="1" saveData="1">
    <webPr sourceData="1" parsePre="1" consecutive="1" xl2000="1" url="http://cf.umassadmin.net/finance/crosswalk/GetCFData4PA2.cfm?BU=0&amp;SpeedKey=0"/>
  </connection>
  <connection id="1035" name="Connection955" type="4" refreshedVersion="3" background="1" saveData="1">
    <webPr sourceData="1" parsePre="1" consecutive="1" xl2000="1" url="http://cf.umassadmin.net/finance/crosswalk/GetCFData4PA2.cfm?BU=0&amp;SpeedKey=0"/>
  </connection>
  <connection id="1036" name="Connection956" type="4" refreshedVersion="3" background="1" saveData="1">
    <webPr sourceData="1" parsePre="1" consecutive="1" xl2000="1" url="http://cf.umassadmin.net/finance/crosswalk/GetCFData4PA2.cfm?BU=0&amp;SpeedKey=0"/>
  </connection>
  <connection id="1037" name="Connection957" type="4" refreshedVersion="2" background="1" saveData="1">
    <webPr sourceData="1" parsePre="1" consecutive="1" xl2000="1" url="http://cf.umassadmin.net/finance/crosswalk/GetCFData4PA2.cfm?BU=0&amp;SpeedKey=0"/>
  </connection>
  <connection id="1038" name="Connection958" type="4" refreshedVersion="3" background="1" saveData="1">
    <webPr sourceData="1" parsePre="1" consecutive="1" xl2000="1" url="http://cf.umassadmin.net/finance/crosswalk/GetCFData4PA2.cfm?BU=0&amp;SpeedKey=0"/>
  </connection>
  <connection id="1039" name="Connection959" type="4" refreshedVersion="3" background="1" saveData="1">
    <webPr sourceData="1" parsePre="1" consecutive="1" xl2000="1" url="http://cf.umassadmin.net/finance/crosswalk/GetCFData4PA2.cfm?BU=0&amp;SpeedKey=0"/>
  </connection>
  <connection id="1040" name="Connection96" type="4" refreshedVersion="2" background="1" saveData="1">
    <webPr sourceData="1" parsePre="1" consecutive="1" xl2000="1" url="http://cf.umassadmin.net/finance/crosswalk/GetCFData4PA.cfm?BU=0&amp;AcctCode=0"/>
  </connection>
  <connection id="1041" name="Connection960" type="4" refreshedVersion="2" background="1" saveData="1">
    <webPr sourceData="1" parsePre="1" consecutive="1" xl2000="1" url="http://cf.umassadmin.net/finance/crosswalk/GetCFData4PA2.cfm?BU=0&amp;SpeedKey=0"/>
  </connection>
  <connection id="1042" name="Connection961" type="4" refreshedVersion="3" background="1" saveData="1">
    <webPr sourceData="1" parsePre="1" consecutive="1" xl2000="1" url="http://cf.umassadmin.net/finance/crosswalk/GetCFData4PA2.cfm?BU=0&amp;SpeedKey=0"/>
  </connection>
  <connection id="1043" name="Connection962" type="4" refreshedVersion="2" background="1" saveData="1">
    <webPr sourceData="1" parsePre="1" consecutive="1" xl2000="1" url="http://cf.umassadmin.net/finance/crosswalk/GetCFData4PA2.cfm?BU=0&amp;SpeedKey=0"/>
  </connection>
  <connection id="1044" name="Connection963" type="4" refreshedVersion="2" background="1" saveData="1">
    <webPr sourceData="1" parsePre="1" consecutive="1" xl2000="1" url="http://cf.umassadmin.net/finance/crosswalk/GetCFData4PA2.cfm?BU=0&amp;SpeedKey=0"/>
  </connection>
  <connection id="1045" name="Connection964" type="4" refreshedVersion="3" background="1" saveData="1">
    <webPr sourceData="1" parsePre="1" consecutive="1" xl2000="1" url="http://cf.umassadmin.net/finance/crosswalk/GetCFData4PA2.cfm?BU=0&amp;SpeedKey=0"/>
  </connection>
  <connection id="1046" name="Connection965" type="4" refreshedVersion="3" background="1" saveData="1">
    <webPr sourceData="1" parsePre="1" consecutive="1" xl2000="1" url="http://cf.umassadmin.net/finance/crosswalk/GetCFData4PA2.cfm?BU=0&amp;SpeedKey=0"/>
  </connection>
  <connection id="1047" name="Connection966" type="4" refreshedVersion="2" background="1" saveData="1">
    <webPr sourceData="1" parsePre="1" consecutive="1" xl2000="1" url="http://cf.umassadmin.net/finance/crosswalk/GetCFData4PA2.cfm?BU=0&amp;SpeedKey=0"/>
  </connection>
  <connection id="1048" name="Connection967" type="4" refreshedVersion="3" background="1" saveData="1">
    <webPr sourceData="1" parsePre="1" consecutive="1" xl2000="1" url="http://cf.umassadmin.net/finance/crosswalk/GetCFData4PA2.cfm?BU=0&amp;SpeedKey=0"/>
  </connection>
  <connection id="1049" name="Connection968" type="4" refreshedVersion="2" background="1" saveData="1">
    <webPr sourceData="1" parsePre="1" consecutive="1" xl2000="1" url="http://cf.umassadmin.net/finance/crosswalk/GetCFData4PA2.cfm?BU=0&amp;SpeedKey=0"/>
  </connection>
  <connection id="1050" name="Connection969" type="4" refreshedVersion="3" background="1" saveData="1">
    <webPr sourceData="1" parsePre="1" consecutive="1" xl2000="1" url="http://cf.umassadmin.net/finance/crosswalk/GetCFData4PA2.cfm?BU=0&amp;SpeedKey=0"/>
  </connection>
  <connection id="1051" name="Connection97" type="4" refreshedVersion="2" background="1" saveData="1">
    <webPr sourceData="1" parsePre="1" consecutive="1" xl2000="1" url="http://cf.umassadmin.net/finance/crosswalk/GetCFData4PA.cfm?BU=0&amp;AcctCode=0"/>
  </connection>
  <connection id="1052" name="Connection970" type="4" refreshedVersion="2" background="1" saveData="1">
    <webPr sourceData="1" parsePre="1" consecutive="1" xl2000="1" url="http://cf.umassadmin.net/finance/crosswalk/GetCFData4PA2.cfm?BU=0&amp;SpeedKey=0"/>
  </connection>
  <connection id="1053" name="Connection971" type="4" refreshedVersion="3" background="1" saveData="1">
    <webPr sourceData="1" parsePre="1" consecutive="1" xl2000="1" url="http://cf.umassadmin.net/finance/crosswalk/GetCFData4PA2.cfm?BU=0&amp;SpeedKey=0"/>
  </connection>
  <connection id="1054" name="Connection972" type="4" refreshedVersion="2" background="1" saveData="1">
    <webPr sourceData="1" parsePre="1" consecutive="1" xl2000="1" url="http://cf.umassadmin.net/finance/crosswalk/GetCFData4PA2.cfm?BU=0&amp;SpeedKey=0"/>
  </connection>
  <connection id="1055" name="Connection973" type="4" refreshedVersion="2" background="1" saveData="1">
    <webPr sourceData="1" parsePre="1" consecutive="1" xl2000="1" url="http://cf.umassadmin.net/finance/crosswalk/GetCFData4PA2.cfm?BU=0&amp;SpeedKey=0"/>
  </connection>
  <connection id="1056" name="Connection974" type="4" refreshedVersion="2" background="1" saveData="1">
    <webPr sourceData="1" parsePre="1" consecutive="1" xl2000="1" url="http://cf.umassadmin.net/finance/crosswalk/GetCFData4PA2.cfm?BU=0&amp;SpeedKey=0"/>
  </connection>
  <connection id="1057" name="Connection975" type="4" refreshedVersion="3" background="1" saveData="1">
    <webPr sourceData="1" parsePre="1" consecutive="1" xl2000="1" url="http://cf.umassadmin.net/finance/crosswalk/GetCFData4PA2.cfm?BU=0&amp;SpeedKey=0"/>
  </connection>
  <connection id="1058" name="Connection976" type="4" refreshedVersion="2" background="1" saveData="1">
    <webPr sourceData="1" parsePre="1" consecutive="1" xl2000="1" url="http://cf.umassadmin.net/finance/crosswalk/GetCFData4PA2.cfm?BU=0&amp;SpeedKey=0"/>
  </connection>
  <connection id="1059" name="Connection977" type="4" refreshedVersion="3" background="1" saveData="1">
    <webPr sourceData="1" parsePre="1" consecutive="1" xl2000="1" url="http://cf.umassadmin.net/finance/crosswalk/GetCFData4PA2.cfm?BU=0&amp;SpeedKey=0"/>
  </connection>
  <connection id="1060" name="Connection978" type="4" refreshedVersion="3" background="1" saveData="1">
    <webPr sourceData="1" parsePre="1" consecutive="1" xl2000="1" url="http://cf.umassadmin.net/finance/crosswalk/GetCFData4PA2.cfm?BU=0&amp;SpeedKey=0"/>
  </connection>
  <connection id="1061" name="Connection979" type="4" refreshedVersion="3" background="1" saveData="1">
    <webPr sourceData="1" parsePre="1" consecutive="1" xl2000="1" url="http://cf.umassadmin.net/finance/crosswalk/GetCFData4PA2.cfm?BU=0&amp;SpeedKey=0"/>
  </connection>
  <connection id="1062" name="Connection98" type="4" refreshedVersion="2" background="1" saveData="1">
    <webPr sourceData="1" parsePre="1" consecutive="1" xl2000="1" url="http://cf.umassadmin.net/finance/crosswalk/GetCFData4PA.cfm?BU=0&amp;AcctCode=0"/>
  </connection>
  <connection id="1063" name="Connection980" type="4" refreshedVersion="3" background="1" saveData="1">
    <webPr sourceData="1" parsePre="1" consecutive="1" xl2000="1" url="http://cf.umassadmin.net/finance/crosswalk/GetCFData4PA2.cfm?BU=0&amp;SpeedKey=0"/>
  </connection>
  <connection id="1064" name="Connection981" type="4" refreshedVersion="2" background="1" saveData="1">
    <webPr sourceData="1" parsePre="1" consecutive="1" xl2000="1" url="http://cf.umassadmin.net/finance/crosswalk/GetCFData4PA2.cfm?BU=0&amp;SpeedKey=0"/>
  </connection>
  <connection id="1065" name="Connection982" type="4" refreshedVersion="3" background="1" saveData="1">
    <webPr sourceData="1" parsePre="1" consecutive="1" xl2000="1" url="http://cf.umassadmin.net/finance/crosswalk/GetCFData4PA2.cfm?BU=0&amp;SpeedKey=0"/>
  </connection>
  <connection id="1066" name="Connection983" type="4" refreshedVersion="3" background="1" saveData="1">
    <webPr sourceData="1" parsePre="1" consecutive="1" xl2000="1" url="http://cf.umassadmin.net/finance/crosswalk/GetCFData4PA2.cfm?BU=0&amp;SpeedKey=0"/>
  </connection>
  <connection id="1067" name="Connection984" type="4" refreshedVersion="3" background="1" saveData="1">
    <webPr sourceData="1" parsePre="1" consecutive="1" xl2000="1" url="http://cf.umassadmin.net/finance/crosswalk/GetCFData4PA2.cfm?BU=0&amp;SpeedKey=0"/>
  </connection>
  <connection id="1068" name="Connection985" type="4" refreshedVersion="3" background="1" saveData="1">
    <webPr sourceData="1" parsePre="1" consecutive="1" xl2000="1" url="http://cf.umassadmin.net/finance/crosswalk/GetCFData4PA2.cfm?BU=0&amp;SpeedKey=0"/>
  </connection>
  <connection id="1069" name="Connection986" type="4" refreshedVersion="2" background="1" saveData="1">
    <webPr sourceData="1" parsePre="1" consecutive="1" xl2000="1" url="http://cf.umassadmin.net/finance/crosswalk/GetCFData4PA2.cfm?BU=0&amp;SpeedKey=0"/>
  </connection>
  <connection id="1070" name="Connection987" type="4" refreshedVersion="2" background="1" saveData="1">
    <webPr sourceData="1" parsePre="1" consecutive="1" xl2000="1" url="http://cf.umassadmin.net/finance/crosswalk/GetCFData4PA2.cfm?BU=0&amp;SpeedKey=0"/>
  </connection>
  <connection id="1071" name="Connection988" type="4" refreshedVersion="2" background="1" saveData="1">
    <webPr sourceData="1" parsePre="1" consecutive="1" xl2000="1" url="http://cf.umassadmin.net/finance/crosswalk/GetCFData4PA2.cfm?BU=0&amp;SpeedKey=0"/>
  </connection>
  <connection id="1072" name="Connection989" type="4" refreshedVersion="2" background="1" saveData="1">
    <webPr sourceData="1" parsePre="1" consecutive="1" xl2000="1" url="http://cf.umassadmin.net/finance/crosswalk/GetCFData4PA2.cfm?BU=0&amp;SpeedKey=0"/>
  </connection>
  <connection id="1073" name="Connection99" type="4" refreshedVersion="3" background="1" saveData="1">
    <webPr sourceData="1" parsePre="1" consecutive="1" xl2000="1" url="http://cf.umassadmin.net/finance/crosswalk/GetCFData4PA2.cfm?BU=0&amp;SpeedKey=0"/>
  </connection>
  <connection id="1074" name="Connection990" type="4" refreshedVersion="2" background="1" saveData="1">
    <webPr sourceData="1" parsePre="1" consecutive="1" xl2000="1" url="http://cf.umassadmin.net/finance/crosswalk/GetCFData4PA2.cfm?BU=0&amp;SpeedKey=0"/>
  </connection>
  <connection id="1075" name="Connection991" type="4" refreshedVersion="3" background="1" saveData="1">
    <webPr sourceData="1" parsePre="1" consecutive="1" xl2000="1" url="http://cf.umassadmin.net/finance/crosswalk/GetCFData4PA2.cfm?BU=0&amp;SpeedKey=0"/>
  </connection>
  <connection id="1076" name="Connection992" type="4" refreshedVersion="3" background="1" saveData="1">
    <webPr sourceData="1" parsePre="1" consecutive="1" xl2000="1" url="http://cf.umassadmin.net/finance/crosswalk/GetCFData4PA2.cfm?BU=0&amp;SpeedKey=0"/>
  </connection>
  <connection id="1077" name="Connection993" type="4" refreshedVersion="3" background="1" saveData="1">
    <webPr sourceData="1" parsePre="1" consecutive="1" xl2000="1" url="http://cf.umassadmin.net/finance/crosswalk/GetCFData4PA2.cfm?BU=0&amp;SpeedKey=0"/>
  </connection>
  <connection id="1078" name="Connection994" type="4" refreshedVersion="3" background="1" saveData="1">
    <webPr sourceData="1" parsePre="1" consecutive="1" xl2000="1" url="http://cf.umassadmin.net/finance/crosswalk/GetCFData4PA2.cfm?BU=0&amp;SpeedKey=0"/>
  </connection>
  <connection id="1079" name="Connection995" type="4" refreshedVersion="2" background="1" saveData="1">
    <webPr sourceData="1" parsePre="1" consecutive="1" xl2000="1" url="http://cf.umassadmin.net/finance/crosswalk/GetCFData4PA2.cfm?BU=0&amp;SpeedKey=0"/>
  </connection>
  <connection id="1080" name="Connection996" type="4" refreshedVersion="3" background="1" saveData="1">
    <webPr sourceData="1" parsePre="1" consecutive="1" xl2000="1" url="http://cf.umassadmin.net/finance/crosswalk/GetCFData4PA2.cfm?BU=0&amp;SpeedKey=0"/>
  </connection>
  <connection id="1081" name="Connection997" type="4" refreshedVersion="3" background="1" saveData="1">
    <webPr sourceData="1" parsePre="1" consecutive="1" xl2000="1" url="http://cf.umassadmin.net/finance/crosswalk/GetCFData4PA2.cfm?BU=0&amp;SpeedKey=0"/>
  </connection>
  <connection id="1082" name="Connection998" type="4" refreshedVersion="2" background="1" saveData="1">
    <webPr sourceData="1" parsePre="1" consecutive="1" xl2000="1" url="http://cf.umassadmin.net/finance/crosswalk/GetCFData4PA2.cfm?BU=0&amp;SpeedKey=0"/>
  </connection>
  <connection id="1083" name="Connection999" type="4" refreshedVersion="3" background="1" saveData="1">
    <webPr sourceData="1" parsePre="1" consecutive="1" xl2000="1" url="http://cf.umassadmin.net/finance/crosswalk/GetCFData4PA2.cfm?BU=0&amp;SpeedKey=0"/>
  </connection>
</connections>
</file>

<file path=xl/sharedStrings.xml><?xml version="1.0" encoding="utf-8"?>
<sst xmlns="http://schemas.openxmlformats.org/spreadsheetml/2006/main" count="1542" uniqueCount="459">
  <si>
    <t>Business Unit</t>
  </si>
  <si>
    <t>UMWOR</t>
  </si>
  <si>
    <t>Fund</t>
  </si>
  <si>
    <t>DeptID</t>
  </si>
  <si>
    <t>Program</t>
  </si>
  <si>
    <t>Class</t>
  </si>
  <si>
    <t>UMDAR</t>
  </si>
  <si>
    <t>UMass Dartmouth</t>
  </si>
  <si>
    <t>UMLOW</t>
  </si>
  <si>
    <t>UMass Lowell</t>
  </si>
  <si>
    <t>UMass Worcester</t>
  </si>
  <si>
    <t>WCCCP</t>
  </si>
  <si>
    <t>Worcester City Campus Corp</t>
  </si>
  <si>
    <t>WUMMF</t>
  </si>
  <si>
    <t>UMass Memorial Foundation</t>
  </si>
  <si>
    <t/>
  </si>
  <si>
    <t>ACTUALS</t>
  </si>
  <si>
    <t>BU_ID</t>
  </si>
  <si>
    <t>B - Beginning of Next Period</t>
  </si>
  <si>
    <t>E - End of Next Period</t>
  </si>
  <si>
    <t>N - Do Not Generate Reversal</t>
  </si>
  <si>
    <t>D - Date Defined by User</t>
  </si>
  <si>
    <t>Net Debit/Credit</t>
  </si>
  <si>
    <t>UMAMH</t>
  </si>
  <si>
    <t>UMBOS</t>
  </si>
  <si>
    <t>UMass Amherst</t>
  </si>
  <si>
    <t>UMass Boston</t>
  </si>
  <si>
    <t>ADJUST</t>
  </si>
  <si>
    <t>UMCEN</t>
  </si>
  <si>
    <t>UMass President's Office</t>
  </si>
  <si>
    <t>UMFND</t>
  </si>
  <si>
    <t>UMass Foundation</t>
  </si>
  <si>
    <t xml:space="preserve"> Total Debits</t>
  </si>
  <si>
    <t>GLE</t>
  </si>
  <si>
    <t>GLC</t>
  </si>
  <si>
    <t>CGE</t>
  </si>
  <si>
    <t>CGC</t>
  </si>
  <si>
    <t>Total Lines</t>
  </si>
  <si>
    <t>Line</t>
  </si>
  <si>
    <t>Account Code</t>
  </si>
  <si>
    <t>Department</t>
  </si>
  <si>
    <t>Project</t>
  </si>
  <si>
    <t xml:space="preserve">the journal entry.  Using speed types is an option, however, not a requirement.  If no speed type is entered, all applicable chartfields </t>
  </si>
  <si>
    <t>must be completed manually.</t>
  </si>
  <si>
    <t xml:space="preserve">For many of you the line description field is a key source of information derived from the monthly departmental  </t>
  </si>
  <si>
    <r>
      <t>DeptID:</t>
    </r>
    <r>
      <rPr>
        <sz val="10"/>
        <rFont val="Arial"/>
        <family val="2"/>
      </rPr>
      <t xml:space="preserve">  This is the 10 character alphanumeric field that defines a specific department within the University.  It generally represents </t>
    </r>
  </si>
  <si>
    <r>
      <t xml:space="preserve">Project/Grant:  </t>
    </r>
    <r>
      <rPr>
        <sz val="10"/>
        <rFont val="Arial"/>
        <family val="2"/>
      </rPr>
      <t xml:space="preserve">This is a 15 character alphanumeric field used to track activity for individual projects and grants.  </t>
    </r>
  </si>
  <si>
    <t>Invalid Business Unit [0] or Speed Chart Key [0]</t>
  </si>
  <si>
    <t>Request:</t>
  </si>
  <si>
    <t>URL:</t>
  </si>
  <si>
    <t>Instance</t>
  </si>
  <si>
    <t>Value</t>
  </si>
  <si>
    <t>Host:</t>
  </si>
  <si>
    <t>End Point:</t>
  </si>
  <si>
    <t>fsdev91</t>
  </si>
  <si>
    <t>fstst91</t>
  </si>
  <si>
    <t>fsprd91</t>
  </si>
  <si>
    <t>fsltd91</t>
  </si>
  <si>
    <t>fsltt91</t>
  </si>
  <si>
    <t>https://fs-dev.erp.umasscs.net/PSIGW/PeopleSoftServiceListeningConnector/UM_SPEEDCHART_SRVC.1.wsdl</t>
  </si>
  <si>
    <t>https://fs-dev.erp.umasscs.net</t>
  </si>
  <si>
    <t>https://fs-dev.erp.umasscs.net/PSIGW/PeopleSoftServiceListeningConnector</t>
  </si>
  <si>
    <t>Current Instance:</t>
  </si>
  <si>
    <t>Currnt URL:</t>
  </si>
  <si>
    <t>Current Host:</t>
  </si>
  <si>
    <t>Current End Point:</t>
  </si>
  <si>
    <t>CSR</t>
  </si>
  <si>
    <t>Date</t>
  </si>
  <si>
    <t>Developer</t>
  </si>
  <si>
    <t>Comments</t>
  </si>
  <si>
    <t>FS9-22565</t>
  </si>
  <si>
    <t>Object Type</t>
  </si>
  <si>
    <t>Object Name</t>
  </si>
  <si>
    <t>S Wood</t>
  </si>
  <si>
    <t>Tab</t>
  </si>
  <si>
    <t>Change Log</t>
  </si>
  <si>
    <t>Added tab</t>
  </si>
  <si>
    <t>SOAP</t>
  </si>
  <si>
    <t>VB</t>
  </si>
  <si>
    <t>SOAP.Worksheet_Change</t>
  </si>
  <si>
    <t>Name</t>
  </si>
  <si>
    <t>IB_URL</t>
  </si>
  <si>
    <t>IB_HOST</t>
  </si>
  <si>
    <t>IB_ENDPOINT</t>
  </si>
  <si>
    <t>Range of SOAP URL Instances</t>
  </si>
  <si>
    <t>Range of SOAP HOST Instances</t>
  </si>
  <si>
    <t>Range of SOAP ENDPOINT Instances</t>
  </si>
  <si>
    <t>Logic to set Current IB information ofr Instance</t>
  </si>
  <si>
    <t>IB_CURRENT_URL</t>
  </si>
  <si>
    <t>IB_CURRENT_HOST</t>
  </si>
  <si>
    <t>IB_CURRENT_ENDPOINT</t>
  </si>
  <si>
    <t>Range of SOAP Current URL Value</t>
  </si>
  <si>
    <t>Range of SOAP Current HOST Value</t>
  </si>
  <si>
    <t>Range of SOAP Current ENDPOINT Value</t>
  </si>
  <si>
    <t>Response:</t>
  </si>
  <si>
    <t>Error</t>
  </si>
  <si>
    <t>GL Template.Workshhet_Change</t>
  </si>
  <si>
    <t>Add call to RetrieveSpeedChartValues</t>
  </si>
  <si>
    <t>Commented out call to XWalkUpdate</t>
  </si>
  <si>
    <t>Module3.RefreshAll</t>
  </si>
  <si>
    <t>Module2</t>
  </si>
  <si>
    <t>Added Function GetTagValue</t>
  </si>
  <si>
    <t>Added Function RetrieveSpeedChartValues</t>
  </si>
  <si>
    <t>Web Links</t>
  </si>
  <si>
    <t>Added column labels</t>
  </si>
  <si>
    <t>Description</t>
  </si>
  <si>
    <t>Development</t>
  </si>
  <si>
    <t>Long Term Development</t>
  </si>
  <si>
    <t>Long Term Test</t>
  </si>
  <si>
    <t>Test</t>
  </si>
  <si>
    <t>Production</t>
  </si>
  <si>
    <t>Description:</t>
  </si>
  <si>
    <t>References</t>
  </si>
  <si>
    <t>Microsoft XML, v6.0</t>
  </si>
  <si>
    <t>Included in References</t>
  </si>
  <si>
    <t>Microsoft Office 14.0 Object Library</t>
  </si>
  <si>
    <t>https://fs-tst.erp.umasscs.net/PSIGW/PeopleSoftServiceListeningConnector/UM_SPEEDCHART_SRVC.1.wsdl</t>
  </si>
  <si>
    <t>https://fs-tst.erp.umasscs.net/PSIGW/PeopleSoftServiceListeningConnector</t>
  </si>
  <si>
    <t>https://fs-tst.erp.umasscs.net</t>
  </si>
  <si>
    <t>https://fs-prd.erp.umasscs.net/PSIGW/PeopleSoftServiceListeningConnector/UM_SPEEDCHART_SRVC.1.wsdl</t>
  </si>
  <si>
    <t>https://fs-prd.erp.umasscs.net</t>
  </si>
  <si>
    <t>https://fs-prd.erp.umasscs.net/PSIGW/PeopleSoftServiceListeningConnecto</t>
  </si>
  <si>
    <t>Created by:</t>
  </si>
  <si>
    <t>Dept Approval:</t>
  </si>
  <si>
    <r>
      <rPr>
        <b/>
        <sz val="10"/>
        <rFont val="Arial"/>
        <family val="2"/>
      </rPr>
      <t xml:space="preserve">Monetary Amount: </t>
    </r>
    <r>
      <rPr>
        <sz val="10"/>
        <rFont val="Arial"/>
        <family val="2"/>
      </rPr>
      <t>Enter the dollar amount for the transaction line.  The amount entered will be either a positive (debit) or negative .</t>
    </r>
  </si>
  <si>
    <t>WCPSP</t>
  </si>
  <si>
    <t>WCS Uhealth Solutions</t>
  </si>
  <si>
    <t>WCS00</t>
  </si>
  <si>
    <t>WCS Inc</t>
  </si>
  <si>
    <t>WCS01</t>
  </si>
  <si>
    <t>WCS - 222 Maple</t>
  </si>
  <si>
    <t>WCS02</t>
  </si>
  <si>
    <t>WCS - 460 Walk Hill</t>
  </si>
  <si>
    <t>WCS03</t>
  </si>
  <si>
    <t>WCS - 100 Century</t>
  </si>
  <si>
    <t>WCS04</t>
  </si>
  <si>
    <t>WCS - 3 Centennial</t>
  </si>
  <si>
    <t>WCS05</t>
  </si>
  <si>
    <t>WCS - 55 Lake Ave</t>
  </si>
  <si>
    <t>WCS06</t>
  </si>
  <si>
    <t>WCS - 365 373 Plantation</t>
  </si>
  <si>
    <t>WCS07</t>
  </si>
  <si>
    <t>WCS - 333 South</t>
  </si>
  <si>
    <t>WCS08</t>
  </si>
  <si>
    <t>WCS - 11 Midstate</t>
  </si>
  <si>
    <t>WCS09</t>
  </si>
  <si>
    <t>WCS - One Innovation Drive,Inc</t>
  </si>
  <si>
    <t>WCS10</t>
  </si>
  <si>
    <t>WCS - 377 Plantation St, Inc</t>
  </si>
  <si>
    <t>WCS11</t>
  </si>
  <si>
    <t>WCS - 381 Plantation St, Inc</t>
  </si>
  <si>
    <t>Entered in PS by:</t>
  </si>
  <si>
    <t>Upload File Path:</t>
  </si>
  <si>
    <t>Batch Control Total</t>
  </si>
  <si>
    <t>Prepared By</t>
  </si>
  <si>
    <t>Trans Date</t>
  </si>
  <si>
    <t>Ref 2 (7)</t>
  </si>
  <si>
    <t>Transaction Line Description (20)</t>
  </si>
  <si>
    <t>Name Reference (20)</t>
  </si>
  <si>
    <t>Ref 3 (7)</t>
  </si>
  <si>
    <t>Doc Ref(9)</t>
  </si>
  <si>
    <t>Project/Grant (15)</t>
  </si>
  <si>
    <t>Class (5)</t>
  </si>
  <si>
    <t>Program (5)</t>
  </si>
  <si>
    <t>DeptID (10)</t>
  </si>
  <si>
    <t>Fund (5)</t>
  </si>
  <si>
    <t>Account (6)</t>
  </si>
  <si>
    <t>Business Unit (5)</t>
  </si>
  <si>
    <t>Trans Ref (7)</t>
  </si>
  <si>
    <t>Monetary Amount (11)</t>
  </si>
  <si>
    <t>Trans ID (11)</t>
  </si>
  <si>
    <t>UMASS Amherst Recharge Upload Entry Form</t>
  </si>
  <si>
    <t>File Create:</t>
  </si>
  <si>
    <t>Batch ID (6)</t>
  </si>
  <si>
    <t>The Recharge Upload Entry Form is to be used to record financial information in PeopleSoft applicable to your department.  Use it for:</t>
  </si>
  <si>
    <t>File Path Example = C:\Transfer</t>
  </si>
  <si>
    <t>Batch Date</t>
  </si>
  <si>
    <t>RECHARGE UPLOAD ENTRY FORM INSTRUCTIONS FOR UMASS AMHERST USERS</t>
  </si>
  <si>
    <t xml:space="preserve">This form is used by Departments to prepare Recharge entries to be uploaded into PeopleSoft.   </t>
  </si>
  <si>
    <t>Batch Header Description (15)</t>
  </si>
  <si>
    <t>Entries Required for the Recharge Upload Header Record in the Recharge Upload PRN file:</t>
  </si>
  <si>
    <t>FORM INSTRUCTIONS</t>
  </si>
  <si>
    <t>acoga@umass.edu</t>
  </si>
  <si>
    <r>
      <t>·</t>
    </r>
    <r>
      <rPr>
        <sz val="7"/>
        <rFont val="Times New Roman"/>
        <family val="1"/>
      </rPr>
      <t xml:space="preserve">         </t>
    </r>
    <r>
      <rPr>
        <sz val="10"/>
        <rFont val="Arial"/>
        <family val="2"/>
      </rPr>
      <t>Cross Campus Recharge Transactions</t>
    </r>
  </si>
  <si>
    <t>The account is not part of a speed type and therefore must be entered.</t>
  </si>
  <si>
    <r>
      <rPr>
        <b/>
        <sz val="10"/>
        <rFont val="Arial"/>
        <family val="2"/>
      </rPr>
      <t xml:space="preserve">Transaction Line Description:  </t>
    </r>
    <r>
      <rPr>
        <sz val="10"/>
        <rFont val="Arial"/>
        <family val="2"/>
      </rPr>
      <t xml:space="preserve">This is a maximum 20 character description field for stating the purpose of the line data entered.  </t>
    </r>
  </si>
  <si>
    <r>
      <t>Program:</t>
    </r>
    <r>
      <rPr>
        <sz val="10"/>
        <rFont val="Arial"/>
        <family val="2"/>
      </rPr>
      <t xml:space="preserve">  This is a 3 character alphanumeric field used to group related activities for financial or reporting purposes.  </t>
    </r>
  </si>
  <si>
    <r>
      <rPr>
        <b/>
        <sz val="10"/>
        <rFont val="Arial"/>
        <family val="2"/>
      </rPr>
      <t>Doc Ref:</t>
    </r>
    <r>
      <rPr>
        <sz val="10"/>
        <rFont val="Arial"/>
        <family val="2"/>
      </rPr>
      <t xml:space="preserve"> This is an additional desc or reference to a source document.  The Batch ID is usually entered here.  </t>
    </r>
  </si>
  <si>
    <t xml:space="preserve">This value appears under the report title "Voucher ID / Batch ID" on UMGM7062 or UMGL7062 Transaction Detail Report.  </t>
  </si>
  <si>
    <t>This value appears under the report title "Trans Date / Invoice DT" on UMGM7062 or UMGL7062 Transaction Detail Report.</t>
  </si>
  <si>
    <r>
      <rPr>
        <b/>
        <sz val="10"/>
        <rFont val="Arial"/>
        <family val="2"/>
      </rPr>
      <t>Name Reference:</t>
    </r>
    <r>
      <rPr>
        <sz val="10"/>
        <rFont val="Arial"/>
        <family val="2"/>
      </rPr>
      <t xml:space="preserve">   For Recharges - This is a Maximum 20 character field of the individual ordering goods or services.    </t>
    </r>
  </si>
  <si>
    <t>For Expense Transfers - the is the name of the individual requesting the transfer.</t>
  </si>
  <si>
    <r>
      <rPr>
        <b/>
        <sz val="10"/>
        <rFont val="Arial"/>
        <family val="2"/>
      </rPr>
      <t xml:space="preserve">Ref 2: </t>
    </r>
    <r>
      <rPr>
        <sz val="10"/>
        <rFont val="Arial"/>
        <family val="2"/>
      </rPr>
      <t xml:space="preserve"> This is Maximum 7 character field for an additional desc or reference to a source document.  </t>
    </r>
  </si>
  <si>
    <t>Some departments enter a fiscal year value here such as "FY17".</t>
  </si>
  <si>
    <r>
      <rPr>
        <b/>
        <sz val="10"/>
        <rFont val="Arial"/>
        <family val="2"/>
      </rPr>
      <t xml:space="preserve">Trans ID: </t>
    </r>
    <r>
      <rPr>
        <sz val="10"/>
        <rFont val="Arial"/>
        <family val="2"/>
      </rPr>
      <t xml:space="preserve"> This is Maximum 7 character field for an additional desc or reference to a source document.  </t>
    </r>
  </si>
  <si>
    <r>
      <rPr>
        <b/>
        <sz val="10"/>
        <rFont val="Arial"/>
        <family val="2"/>
      </rPr>
      <t>Trans Ref:</t>
    </r>
    <r>
      <rPr>
        <sz val="10"/>
        <rFont val="Arial"/>
        <family val="2"/>
      </rPr>
      <t xml:space="preserve">  This is a Maximum 7 character field for additional desc or reference to a source document (eg. PO)</t>
    </r>
  </si>
  <si>
    <r>
      <t xml:space="preserve">Speed Chart (Speed Type):  </t>
    </r>
    <r>
      <rPr>
        <sz val="10"/>
        <rFont val="Arial"/>
        <family val="2"/>
      </rPr>
      <t xml:space="preserve">This is a 6 digit alias code for a combination of ChartFields.  The form is web-linked to Chartfield Lookup.  </t>
    </r>
  </si>
  <si>
    <r>
      <t>Account:</t>
    </r>
    <r>
      <rPr>
        <sz val="10"/>
        <rFont val="Arial"/>
        <family val="2"/>
      </rPr>
      <t xml:space="preserve">  The account is a 6 digit number that classifies balance sheet, revenue and expense items on financial transactions  .</t>
    </r>
  </si>
  <si>
    <t>The format for the date must be mm/dd/yyyy.</t>
  </si>
  <si>
    <t>The Batch Date should be entered for an OPEN Accounting Period / Month.  The format for the date must be mm/dd/yyyy.</t>
  </si>
  <si>
    <r>
      <rPr>
        <b/>
        <sz val="10"/>
        <rFont val="Arial"/>
        <family val="2"/>
      </rPr>
      <t xml:space="preserve">Ref 3: </t>
    </r>
    <r>
      <rPr>
        <sz val="10"/>
        <rFont val="Arial"/>
        <family val="2"/>
      </rPr>
      <t xml:space="preserve"> This is Maximum 7 character field for an additional desc or reference to a source document.  </t>
    </r>
  </si>
  <si>
    <t>How to Create the Recharge Upload PRN file</t>
  </si>
  <si>
    <t>[1]</t>
  </si>
  <si>
    <t>Enter values for the Recharge Upload Transactions Records</t>
  </si>
  <si>
    <t>[2]</t>
  </si>
  <si>
    <t>Speed type (6)</t>
  </si>
  <si>
    <t>Speedtypes must be valid for the Business Unit.</t>
  </si>
  <si>
    <t>For Cross campus use - be wary that an Account Code valid for UMAMH may not be valid for another campus / Business Unit.</t>
  </si>
  <si>
    <t>Invalid Speedtypes will return Question Marks for Fund, Deptid, Program, Class &amp; Project/Grant.</t>
  </si>
  <si>
    <r>
      <rPr>
        <b/>
        <sz val="10"/>
        <rFont val="Arial"/>
        <family val="2"/>
      </rPr>
      <t>Required values:</t>
    </r>
    <r>
      <rPr>
        <sz val="10"/>
        <rFont val="Arial"/>
        <family val="2"/>
      </rPr>
      <t xml:space="preserve"> Business Unit, Account, Speed type, Monetary Amount, Transaction Line description, Trans date.</t>
    </r>
  </si>
  <si>
    <t>Optional Fields: Trans Ref, Doc Ref (recommended Batch ID value), Ref 2, Trans ID, Ref 3.</t>
  </si>
  <si>
    <r>
      <rPr>
        <b/>
        <sz val="10"/>
        <rFont val="Arial"/>
        <family val="2"/>
      </rPr>
      <t>Required values:</t>
    </r>
    <r>
      <rPr>
        <sz val="10"/>
        <rFont val="Arial"/>
        <family val="2"/>
      </rPr>
      <t xml:space="preserve"> Business Unit, Batch ID, Batch Date, Batch Header Description and Batch Originator.</t>
    </r>
  </si>
  <si>
    <t>[3]</t>
  </si>
  <si>
    <t>Enter a File Path when the Recharge Upload PRN file will be generated in cell D5</t>
  </si>
  <si>
    <t xml:space="preserve">Examples of Upload File Paths:  </t>
  </si>
  <si>
    <t>C:\Transfer</t>
  </si>
  <si>
    <t>S:\Recharges\Recharge Uploads\FY17</t>
  </si>
  <si>
    <t>If the File Path is Blank, then the Recharge Upload file will be generated in the same File path \ Folder location as the Recharge Upload Spreadsheet</t>
  </si>
  <si>
    <t>[4]</t>
  </si>
  <si>
    <t>Click on the "Recharge Upload File" Button to generate the Recharge Upload PRN file</t>
  </si>
  <si>
    <t>[5]</t>
  </si>
  <si>
    <t>Other</t>
  </si>
  <si>
    <t>(a)</t>
  </si>
  <si>
    <t>(b)</t>
  </si>
  <si>
    <t>(c)</t>
  </si>
  <si>
    <t>(d)</t>
  </si>
  <si>
    <t>(e)</t>
  </si>
  <si>
    <r>
      <rPr>
        <b/>
        <sz val="10"/>
        <rFont val="Arial"/>
        <family val="2"/>
      </rPr>
      <t>Class:</t>
    </r>
    <r>
      <rPr>
        <sz val="10"/>
        <rFont val="Arial"/>
        <family val="2"/>
      </rPr>
      <t xml:space="preserve">  Class Code is a Maximum 5 character field that is used by some departments to categorize expenses.</t>
    </r>
  </si>
  <si>
    <r>
      <t xml:space="preserve">When completed, forward the Generated Recharge Upload PRN file via </t>
    </r>
    <r>
      <rPr>
        <b/>
        <sz val="10"/>
        <rFont val="Arial"/>
        <family val="2"/>
      </rPr>
      <t>Email</t>
    </r>
    <r>
      <rPr>
        <sz val="10"/>
        <rFont val="Arial"/>
        <family val="2"/>
      </rPr>
      <t xml:space="preserve"> to =======&gt;&gt;&gt;</t>
    </r>
  </si>
  <si>
    <r>
      <t xml:space="preserve">You may Click on the </t>
    </r>
    <r>
      <rPr>
        <b/>
        <sz val="10"/>
        <rFont val="Arial"/>
        <family val="2"/>
      </rPr>
      <t>"Print Recharge"</t>
    </r>
    <r>
      <rPr>
        <sz val="10"/>
        <rFont val="Arial"/>
        <family val="2"/>
      </rPr>
      <t xml:space="preserve"> button on the spreadsheet to print the Recharge Form</t>
    </r>
  </si>
  <si>
    <r>
      <t xml:space="preserve">You may click on the </t>
    </r>
    <r>
      <rPr>
        <b/>
        <sz val="10"/>
        <rFont val="Arial"/>
        <family val="2"/>
      </rPr>
      <t>"Refresh All Chartfields"</t>
    </r>
    <r>
      <rPr>
        <sz val="10"/>
        <rFont val="Arial"/>
        <family val="2"/>
      </rPr>
      <t xml:space="preserve"> button to Refresh the Chartfields Fund, Deptid, Program, Class, Project/Grant</t>
    </r>
  </si>
  <si>
    <r>
      <t xml:space="preserve">The Chartfield Refresh will execute for </t>
    </r>
    <r>
      <rPr>
        <b/>
        <sz val="10"/>
        <rFont val="Arial"/>
        <family val="2"/>
      </rPr>
      <t>515</t>
    </r>
    <r>
      <rPr>
        <sz val="10"/>
        <rFont val="Arial"/>
        <family val="2"/>
      </rPr>
      <t xml:space="preserve"> Transaction rows unless you Press </t>
    </r>
    <r>
      <rPr>
        <b/>
        <sz val="10"/>
        <rFont val="Arial"/>
        <family val="2"/>
      </rPr>
      <t>ESC</t>
    </r>
    <r>
      <rPr>
        <sz val="10"/>
        <rFont val="Arial"/>
        <family val="2"/>
      </rPr>
      <t xml:space="preserve"> on you Keyboard 3 times and Click the "END" button.</t>
    </r>
  </si>
  <si>
    <r>
      <t xml:space="preserve">Enter </t>
    </r>
    <r>
      <rPr>
        <b/>
        <sz val="10"/>
        <rFont val="Arial"/>
        <family val="2"/>
      </rPr>
      <t>"Ctrl" and "Home"</t>
    </r>
    <r>
      <rPr>
        <sz val="10"/>
        <rFont val="Arial"/>
        <family val="2"/>
      </rPr>
      <t xml:space="preserve"> keys to return to the Top of the Recharge Form.</t>
    </r>
  </si>
  <si>
    <t>Or Highlight cells and the right click and select Clear contents.</t>
  </si>
  <si>
    <t>Clear the contents of cells on an Old Recharge Upload Spreadsheet by highlighting the target cells and pressing 'Del" on your keyboard.</t>
  </si>
  <si>
    <t>To Clear a Range of Transaction Rows:</t>
  </si>
  <si>
    <r>
      <t xml:space="preserve">When </t>
    </r>
    <r>
      <rPr>
        <b/>
        <sz val="10"/>
        <rFont val="Arial"/>
        <family val="2"/>
      </rPr>
      <t>pasting values from another Spreadsheet</t>
    </r>
    <r>
      <rPr>
        <sz val="10"/>
        <rFont val="Arial"/>
        <family val="2"/>
      </rPr>
      <t xml:space="preserve">, use the </t>
    </r>
    <r>
      <rPr>
        <b/>
        <sz val="10"/>
        <rFont val="Arial"/>
        <family val="2"/>
      </rPr>
      <t>"Paste Special Values"</t>
    </r>
    <r>
      <rPr>
        <sz val="10"/>
        <rFont val="Arial"/>
        <family val="2"/>
      </rPr>
      <t xml:space="preserve"> command option.</t>
    </r>
  </si>
  <si>
    <r>
      <t xml:space="preserve">This recharge form can accommodate Recharge Transaction line up to </t>
    </r>
    <r>
      <rPr>
        <b/>
        <sz val="10"/>
        <rFont val="Arial"/>
        <family val="2"/>
      </rPr>
      <t>Row 515.</t>
    </r>
  </si>
  <si>
    <r>
      <t>·</t>
    </r>
    <r>
      <rPr>
        <sz val="7"/>
        <rFont val="Times New Roman"/>
        <family val="1"/>
      </rPr>
      <t xml:space="preserve">         </t>
    </r>
    <r>
      <rPr>
        <sz val="10"/>
        <rFont val="Arial"/>
        <family val="2"/>
      </rPr>
      <t>Recharge Transactions between a Recharge Center and Department.</t>
    </r>
  </si>
  <si>
    <t>Certain fields are protected to prevent users from entering incorrect or unformatted information.</t>
  </si>
  <si>
    <r>
      <t xml:space="preserve">Batch Header Description  (in row 13): </t>
    </r>
    <r>
      <rPr>
        <sz val="10"/>
        <rFont val="Arial"/>
        <family val="2"/>
      </rPr>
      <t xml:space="preserve">  This 15 character field is used to identify the Recharge entry.  </t>
    </r>
  </si>
  <si>
    <r>
      <t xml:space="preserve">Entries Required for the Recharge Upload Transaction lines </t>
    </r>
    <r>
      <rPr>
        <b/>
        <u/>
        <sz val="9"/>
        <color rgb="FF002060"/>
        <rFont val="Arial"/>
        <family val="2"/>
      </rPr>
      <t>(row 16 and onwards)</t>
    </r>
    <r>
      <rPr>
        <b/>
        <u/>
        <sz val="11"/>
        <color rgb="FF002060"/>
        <rFont val="Arial"/>
        <family val="2"/>
      </rPr>
      <t xml:space="preserve"> in the Recharge Upload PRN file:</t>
    </r>
  </si>
  <si>
    <t>The 6 digit Account code entered must be valid for the Campus / Business Unit being charged.</t>
  </si>
  <si>
    <r>
      <rPr>
        <b/>
        <sz val="10"/>
        <rFont val="Arial"/>
        <family val="2"/>
      </rPr>
      <t>Business Unit</t>
    </r>
    <r>
      <rPr>
        <sz val="10"/>
        <rFont val="Arial"/>
        <family val="2"/>
      </rPr>
      <t>:  For most users this will be UMAMH.  Only use another Business Unit when the Recharge is cross campus.</t>
    </r>
  </si>
  <si>
    <t>A Chartfield is made up of Business Unit, Fund, DeptID, Progran Code, Project ID.</t>
  </si>
  <si>
    <t>Expense Account Codes begin with 7 and the Amount charged is typically a Debit amount (positive amount).</t>
  </si>
  <si>
    <t>Revenue Account Codes begin with 6 and the Amount received is typically a Credit amount (negative amount).</t>
  </si>
  <si>
    <r>
      <t xml:space="preserve">The Recharge Upload Spreadsheet </t>
    </r>
    <r>
      <rPr>
        <b/>
        <sz val="10"/>
        <rFont val="Arial"/>
        <family val="2"/>
      </rPr>
      <t>DOES NOT validate</t>
    </r>
    <r>
      <rPr>
        <sz val="10"/>
        <rFont val="Arial"/>
        <family val="2"/>
      </rPr>
      <t xml:space="preserve"> Account Codes</t>
    </r>
  </si>
  <si>
    <r>
      <t>Fund</t>
    </r>
    <r>
      <rPr>
        <sz val="10"/>
        <rFont val="Arial"/>
        <family val="2"/>
      </rPr>
      <t>:  The 5 digit fund identifies an independent fiscal and accounting entity.  It generally represents a pool of financial resources.</t>
    </r>
  </si>
  <si>
    <t>This value is Required and must be completed manually IF the Speedtype is left blank.</t>
  </si>
  <si>
    <r>
      <t xml:space="preserve">a permanent on-going activity.   </t>
    </r>
    <r>
      <rPr>
        <sz val="10"/>
        <color rgb="FFC00000"/>
        <rFont val="Arial"/>
        <family val="2"/>
      </rPr>
      <t>This value is Required and must be completed manually IF the Speedtype is left blank.</t>
    </r>
  </si>
  <si>
    <t xml:space="preserve">It is used only for expense (7xxxxx) or transfer-out (5xxxxx) transactions.  </t>
  </si>
  <si>
    <t>This value is Required and must be completed manually IF the Speedtype is left blank And the Recharge is on a Project or Grant.</t>
  </si>
  <si>
    <t>(credit) number.  A debit will lead to deduction of the fund balance whereas a credit to addition of the fund balance.</t>
  </si>
  <si>
    <t>Enter required values for the Recharge Upload Header Record:</t>
  </si>
  <si>
    <t>Budget Account Codes cannot be used.</t>
  </si>
  <si>
    <t>You can enter Multiple Recharge Expense lines to ONE corresponding Revenue line.</t>
  </si>
  <si>
    <t xml:space="preserve">Every Expense / Debit transaction line should have a corresponding Revenue / Credit transaction line … OR </t>
  </si>
  <si>
    <t>Upon entry of a valid Speed Type, you will see the fields of Fund, DeptID, Program, Class and Project/Grant (if applicable) automatically</t>
  </si>
  <si>
    <t xml:space="preserve">populated.  In case of invalid Speed Types, all those fields will be populated by question marks.  You must resolve them before submitting   </t>
  </si>
  <si>
    <r>
      <rPr>
        <b/>
        <sz val="10"/>
        <rFont val="Arial"/>
        <family val="2"/>
      </rPr>
      <t>Trans Date:</t>
    </r>
    <r>
      <rPr>
        <sz val="10"/>
        <rFont val="Arial"/>
        <family val="2"/>
      </rPr>
      <t xml:space="preserve">  This is the date the transaction occurred.  </t>
    </r>
    <r>
      <rPr>
        <sz val="10"/>
        <color rgb="FFC00000"/>
        <rFont val="Arial"/>
        <family val="2"/>
      </rPr>
      <t>This is a Required value.</t>
    </r>
  </si>
  <si>
    <r>
      <t xml:space="preserve">reports so clear and concise entry is critical.   </t>
    </r>
    <r>
      <rPr>
        <sz val="10"/>
        <color rgb="FFC00000"/>
        <rFont val="Arial"/>
        <family val="2"/>
      </rPr>
      <t>This is a Required value.</t>
    </r>
  </si>
  <si>
    <r>
      <t xml:space="preserve">The total of debits and credits of the whole journal entry </t>
    </r>
    <r>
      <rPr>
        <b/>
        <sz val="10"/>
        <rFont val="Arial"/>
        <family val="2"/>
      </rPr>
      <t>must</t>
    </r>
    <r>
      <rPr>
        <sz val="10"/>
        <rFont val="Arial"/>
        <family val="2"/>
      </rPr>
      <t xml:space="preserve"> zero out.  </t>
    </r>
    <r>
      <rPr>
        <sz val="10"/>
        <color rgb="FFC00000"/>
        <rFont val="Arial"/>
        <family val="2"/>
      </rPr>
      <t>This is a Required value.</t>
    </r>
  </si>
  <si>
    <t>The Instructions consists of a description of Field values AND how to create a Recharge Upload PRN file.</t>
  </si>
  <si>
    <r>
      <t xml:space="preserve">All Generated Recharge Upload PRN files for Upload should be </t>
    </r>
    <r>
      <rPr>
        <b/>
        <sz val="10"/>
        <rFont val="Arial"/>
        <family val="2"/>
      </rPr>
      <t>Emailed</t>
    </r>
    <r>
      <rPr>
        <sz val="10"/>
        <rFont val="Arial"/>
        <family val="2"/>
      </rPr>
      <t xml:space="preserve"> to ====&gt;&gt;</t>
    </r>
  </si>
  <si>
    <t>Certain fields require input from department users.  They are listed below.</t>
  </si>
  <si>
    <r>
      <t xml:space="preserve">Business Unit (in row 9):  </t>
    </r>
    <r>
      <rPr>
        <sz val="10"/>
        <rFont val="Arial"/>
        <family val="2"/>
      </rPr>
      <t xml:space="preserve">This will Be UMAMH for the Amherst Campus.  </t>
    </r>
    <r>
      <rPr>
        <sz val="10"/>
        <color rgb="FFC00000"/>
        <rFont val="Arial"/>
        <family val="2"/>
      </rPr>
      <t>This is a Required value.</t>
    </r>
  </si>
  <si>
    <r>
      <t>Batch ID  (in row 9):</t>
    </r>
    <r>
      <rPr>
        <sz val="10"/>
        <rFont val="Arial"/>
        <family val="2"/>
      </rPr>
      <t xml:space="preserve">  This is a 6 Character length Batch Identifier assigned by the Controller's Office.  </t>
    </r>
    <r>
      <rPr>
        <sz val="10"/>
        <color rgb="FFC00000"/>
        <rFont val="Arial"/>
        <family val="2"/>
      </rPr>
      <t>This is a Required value.</t>
    </r>
  </si>
  <si>
    <r>
      <t xml:space="preserve">Enter a brief description of what the Recharge is for.  </t>
    </r>
    <r>
      <rPr>
        <sz val="10"/>
        <color rgb="FFC00000"/>
        <rFont val="Arial"/>
        <family val="2"/>
      </rPr>
      <t>This is a Required value.</t>
    </r>
  </si>
  <si>
    <r>
      <t>Batch Date  (in row 9):</t>
    </r>
    <r>
      <rPr>
        <sz val="10"/>
        <rFont val="Arial"/>
        <family val="2"/>
      </rPr>
      <t xml:space="preserve">  The Batch Date will be used as the Journal Date.  </t>
    </r>
    <r>
      <rPr>
        <sz val="10"/>
        <color rgb="FFC00000"/>
        <rFont val="Arial"/>
        <family val="2"/>
      </rPr>
      <t xml:space="preserve">This is a Required value.  </t>
    </r>
  </si>
  <si>
    <t>The Monetary Amount appears under report title "Transaction Amount of the UMGM7062 or UMGL7062 report.</t>
  </si>
  <si>
    <t>This value appears under the report title "Vendor / Description" on UMGM7062 or UMGL706 Transaction Detail Report.</t>
  </si>
  <si>
    <t>The Ref 2 value appears under report title "Invoice# / Card Holder / Reference" on the UMGM7062 or UMGL7062 report.</t>
  </si>
  <si>
    <t>The Trans ID value appears under the report title "PO# / Trans ID" on UMGM7062 or UMGL7062 Transaction Detail Report.</t>
  </si>
  <si>
    <t>The Ref 3 value Does Not appear in report UMGM7062 or UMGL7062.</t>
  </si>
  <si>
    <t>This Name Reference Does Not appear in report UMGM7062 or UMGL7062 transaction Detail Report.</t>
  </si>
  <si>
    <t>The Trans Ref value Does NOT appear on the UMGM7062 or UMGL7062 Transaction Detail Report.</t>
  </si>
  <si>
    <t>This value appears under the report title "Journal Date" in the UMGM7062 or UMGL7062 Transaction Detail Report.</t>
  </si>
  <si>
    <t>This value Does Not appear in the UMGM7062 or UMGL7062 Transaction Detail Report.</t>
  </si>
  <si>
    <t>Upon opening the Spreadsheet you may receive the warning message:</t>
  </si>
  <si>
    <t>Some active has been disabled. Click for more details.</t>
  </si>
  <si>
    <t>Please click on the 'Enable Content button to begin using the Recharge upload Spreadsheet.</t>
  </si>
  <si>
    <t xml:space="preserve">The Fields on the top right of the Spreadsheet Do Not require entry for Recharge Upload submission.  </t>
  </si>
  <si>
    <t>You Department may use these fields for your purposes.</t>
  </si>
  <si>
    <t>These Fields are:  "Created By",  "Dept Approval",  "Entered in PS by"</t>
  </si>
  <si>
    <t>This Spreadsheet has only been tested to work on a Windows 7 and Windows 10 PC.</t>
  </si>
  <si>
    <t>753080</t>
  </si>
  <si>
    <t>699900</t>
  </si>
  <si>
    <t>Elnugent</t>
  </si>
  <si>
    <t>Erin Nugent</t>
  </si>
  <si>
    <t>D06</t>
  </si>
  <si>
    <t>Light Micro</t>
  </si>
  <si>
    <t>155226</t>
  </si>
  <si>
    <t>A606363000</t>
  </si>
  <si>
    <t>Light Microscopy</t>
  </si>
  <si>
    <t>B03</t>
  </si>
  <si>
    <t>A01</t>
  </si>
  <si>
    <t>BMB</t>
  </si>
  <si>
    <t>139118</t>
  </si>
  <si>
    <t>A040100065</t>
  </si>
  <si>
    <t>Li, Genglin</t>
  </si>
  <si>
    <t>Biology</t>
  </si>
  <si>
    <t>E0122</t>
  </si>
  <si>
    <t>158171</t>
  </si>
  <si>
    <t>A606234064</t>
  </si>
  <si>
    <t>S11110000000251</t>
  </si>
  <si>
    <t>Psych</t>
  </si>
  <si>
    <t>158543</t>
  </si>
  <si>
    <t>A121400015</t>
  </si>
  <si>
    <t>S11110000000257</t>
  </si>
  <si>
    <t>Timme-Laragy, Alicia</t>
  </si>
  <si>
    <t>EHS</t>
  </si>
  <si>
    <t>ALS095</t>
  </si>
  <si>
    <t>155308</t>
  </si>
  <si>
    <t>A090700034</t>
  </si>
  <si>
    <t>S12100000001075</t>
  </si>
  <si>
    <t>LM191119</t>
  </si>
  <si>
    <t>Carter, Kenneth</t>
  </si>
  <si>
    <t>PSE</t>
  </si>
  <si>
    <t>LM191123</t>
  </si>
  <si>
    <t>LM191178</t>
  </si>
  <si>
    <t>170940</t>
  </si>
  <si>
    <t>A040100062</t>
  </si>
  <si>
    <t>S11110000044795</t>
  </si>
  <si>
    <t>LM191195</t>
  </si>
  <si>
    <t>Maresca, Thomas</t>
  </si>
  <si>
    <t>163492</t>
  </si>
  <si>
    <t>A606321044</t>
  </si>
  <si>
    <t>S11110000000331</t>
  </si>
  <si>
    <t>LM200037</t>
  </si>
  <si>
    <t>Serio, Tricia</t>
  </si>
  <si>
    <t>NatSci</t>
  </si>
  <si>
    <t>165594</t>
  </si>
  <si>
    <t>A040100033</t>
  </si>
  <si>
    <t>S12100000001358</t>
  </si>
  <si>
    <t>LM200049</t>
  </si>
  <si>
    <t>Wadsworth, Patricia</t>
  </si>
  <si>
    <t>&lt;soapenv:Envelope xmlns:soapenv="http://schemas.xmlsoap.org/soap/envelope/" xmlns:um="http://xmlns.oracle.com/Enterprise/Tools/schemas/UM_SPDCHRT_LKUP.UM_SPDCHRT_LKUP.V1"&gt;   &lt;soapenv:Body&gt;      &lt;um:UM_SPDCHRT_LKUP&gt;         &lt;um:BUSINESS_UNIT&gt;UMAMH&lt;/um:BUSINESS_UNIT&gt;         &lt;um:SPEEDCHART_KEY&gt;155226&lt;/um:SPEEDCHART_KEY&gt;         &lt;um:UM_HR_ACCT_CD&gt;&lt;/um:UM_HR_ACCT_CD&gt;"      &lt;/um:UM_SPDCHRT_LKUP&gt;   &lt;/soapenv:Body&gt;&lt;/soapenv:Envelope&gt;</t>
  </si>
  <si>
    <t>&lt;?xml version="1.0" encoding="UTF-8"?&gt; &lt;soapenv:Envelope   xmlns:soapenv="http://schemas.xmlsoap.org/soap/envelope/" xmlns:soapenc="http://schemas.xmlsoap.org/soap/encoding/" xmlns:xsd="http://www.w3.org/2001/XMLSchema" xmlns:xsi="http://www.w3.org/2001/XMLSchema-instance"&gt;&lt;soapenv:Body&gt;&lt;UM_SPDCHRT_RESP xmlns="http://xmlns.oracle.com/Enterprise/Tools/schemas/UM_SPDCHRT_LKUP.UM_SPDCHRT_RESP.V1"&gt;
&lt;BUSINESS_UNIT&gt;UMAMH&lt;/BUSINESS_UNIT&gt;&lt;CLASS_FLD&gt;&lt;/CLASS_FLD&gt;&lt;DEPTID&gt;A606363000&lt;/DEPTID&gt;&lt;FUND_CODE&gt;51511&lt;/FUND_CODE&gt;&lt;PROGRAM_CODE&gt;D06&lt;/PROGRAM_CODE&gt;&lt;PROJECT_ID&gt;&lt;/PROJECT_ID&gt;&lt;SETID&gt;UMAMH&lt;/SETID&gt;&lt;SPEEDCHART_KEY&gt;155226&lt;/SPEEDCHART_KEY&gt;&lt;UM_HR_ACCT_CD&gt;A155226&lt;/UM_HR_ACCT_CD&gt;&lt;/UM_SPDCHRT_RESP&gt;&lt;/soapenv:Body&gt; &lt;/soapenv:Envelope&gt;</t>
  </si>
  <si>
    <t>LM200050</t>
  </si>
  <si>
    <t>163052</t>
  </si>
  <si>
    <t>A010400045</t>
  </si>
  <si>
    <t>E0820</t>
  </si>
  <si>
    <t>LM200063</t>
  </si>
  <si>
    <t>Cui, Wei</t>
  </si>
  <si>
    <t>VASCI</t>
  </si>
  <si>
    <t>166678</t>
  </si>
  <si>
    <t>A040100097</t>
  </si>
  <si>
    <t>S12100000001379</t>
  </si>
  <si>
    <t>LM200064</t>
  </si>
  <si>
    <t>Facette, Michelle</t>
  </si>
  <si>
    <t>166441</t>
  </si>
  <si>
    <t>A090700036</t>
  </si>
  <si>
    <t>S19110000000067</t>
  </si>
  <si>
    <t>LM200069</t>
  </si>
  <si>
    <t>Hayward, Ryan</t>
  </si>
  <si>
    <t>130989</t>
  </si>
  <si>
    <t>A040100058</t>
  </si>
  <si>
    <t>LM200070</t>
  </si>
  <si>
    <t>Hazen, Samuel</t>
  </si>
  <si>
    <t>164262</t>
  </si>
  <si>
    <t>A606108000</t>
  </si>
  <si>
    <t>LM200071</t>
  </si>
  <si>
    <t>Jerry, Joseph</t>
  </si>
  <si>
    <t>LM200072</t>
  </si>
  <si>
    <t>164387</t>
  </si>
  <si>
    <t>A090700044</t>
  </si>
  <si>
    <t>E0821</t>
  </si>
  <si>
    <t>LM200073</t>
  </si>
  <si>
    <t>Katsumata, Reika</t>
  </si>
  <si>
    <t>167776</t>
  </si>
  <si>
    <t>A040100086</t>
  </si>
  <si>
    <t>S11110000000387</t>
  </si>
  <si>
    <t>LM200074</t>
  </si>
  <si>
    <t>Katz, Paul</t>
  </si>
  <si>
    <t>161746</t>
  </si>
  <si>
    <t>A090600041</t>
  </si>
  <si>
    <t>E0921</t>
  </si>
  <si>
    <t>LM200075</t>
  </si>
  <si>
    <t>Kulkarni, Ashish</t>
  </si>
  <si>
    <t>ChemEng</t>
  </si>
  <si>
    <t>166718</t>
  </si>
  <si>
    <t>A606240041</t>
  </si>
  <si>
    <t>S17110000000343</t>
  </si>
  <si>
    <t>LM200076</t>
  </si>
  <si>
    <t>169228</t>
  </si>
  <si>
    <t>A090600036</t>
  </si>
  <si>
    <t>S11110000000401</t>
  </si>
  <si>
    <t>LM200077</t>
  </si>
  <si>
    <t>Lee, Jungwoo</t>
  </si>
  <si>
    <t>LM200078</t>
  </si>
  <si>
    <t>167446</t>
  </si>
  <si>
    <t>A041400037</t>
  </si>
  <si>
    <t>S19000000000591</t>
  </si>
  <si>
    <t>LM200080</t>
  </si>
  <si>
    <t>Ma, Li-Jun</t>
  </si>
  <si>
    <t>LM200083</t>
  </si>
  <si>
    <t>Normanly, Jennifer</t>
  </si>
  <si>
    <t>133939</t>
  </si>
  <si>
    <t>A010400032</t>
  </si>
  <si>
    <t>LM200086</t>
  </si>
  <si>
    <t>Peterson, Sandra</t>
  </si>
  <si>
    <t>169078</t>
  </si>
  <si>
    <t>A200100058</t>
  </si>
  <si>
    <t>S11110000000397</t>
  </si>
  <si>
    <t>LM200088</t>
  </si>
  <si>
    <t>Remage-Healey, Luke</t>
  </si>
  <si>
    <t>LM200090</t>
  </si>
  <si>
    <t>Richadson, Heather</t>
  </si>
  <si>
    <t>163808</t>
  </si>
  <si>
    <t>A606333031</t>
  </si>
  <si>
    <t>S11900000000063</t>
  </si>
  <si>
    <t>LM200093</t>
  </si>
  <si>
    <t>Santore, Maria</t>
  </si>
  <si>
    <t>167462</t>
  </si>
  <si>
    <t>A090700031</t>
  </si>
  <si>
    <t>S12100000001433</t>
  </si>
  <si>
    <t>131539</t>
  </si>
  <si>
    <t>A170580105</t>
  </si>
  <si>
    <t>U1035494000000A</t>
  </si>
  <si>
    <t>LM200094</t>
  </si>
  <si>
    <t>Schwartz, Lawrence</t>
  </si>
  <si>
    <t>169184</t>
  </si>
  <si>
    <t>A606101018</t>
  </si>
  <si>
    <t>LM200097</t>
  </si>
  <si>
    <t>Srimathveeravalli</t>
  </si>
  <si>
    <t>Eng</t>
  </si>
  <si>
    <t>161973</t>
  </si>
  <si>
    <t>A091000070</t>
  </si>
  <si>
    <t>S12100000001262</t>
  </si>
  <si>
    <t>LM200099</t>
  </si>
  <si>
    <t>Sun, Yubing</t>
  </si>
  <si>
    <t>MechEng</t>
  </si>
  <si>
    <t>LM200102</t>
  </si>
  <si>
    <t>162227</t>
  </si>
  <si>
    <t>A606200002</t>
  </si>
  <si>
    <t>S12100000001289</t>
  </si>
  <si>
    <t>LM200100</t>
  </si>
  <si>
    <t>Thayumanavan, Thai</t>
  </si>
  <si>
    <t>Chemistry</t>
  </si>
  <si>
    <t>168965</t>
  </si>
  <si>
    <t>A190500040</t>
  </si>
  <si>
    <t>S11110000000396</t>
  </si>
  <si>
    <t>LM200101</t>
  </si>
  <si>
    <t>150125</t>
  </si>
  <si>
    <t>A010400020</t>
  </si>
  <si>
    <t>S11110000000203</t>
  </si>
  <si>
    <t>LM200103</t>
  </si>
  <si>
    <t>Visconti, Pablo</t>
  </si>
  <si>
    <t>158850</t>
  </si>
  <si>
    <t>A190500054</t>
  </si>
  <si>
    <t>E0819</t>
  </si>
  <si>
    <t>LM200104</t>
  </si>
  <si>
    <t>You, Mingxu</t>
  </si>
  <si>
    <t>150035</t>
  </si>
  <si>
    <t>A606300000</t>
  </si>
  <si>
    <t>164467</t>
  </si>
  <si>
    <t>S19000000000575</t>
  </si>
  <si>
    <t>LM200105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</si>
</sst>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00"/>
    <numFmt numFmtId="165" formatCode="_(#00000;_(#00000;_(* &quot;&quot;??_);_(@_)"/>
    <numFmt numFmtId="166" formatCode="[$-409]dd\-mmm\-yy;@"/>
    <numFmt numFmtId="167" formatCode="mm/dd/yyyy"/>
  </numFmts>
  <fonts count="34" x14ac:knownFonts="1">
    <font>
      <sz val="10"/>
      <name val="Arial"/>
    </font>
    <font>
      <b/>
      <sz val="10"/>
      <name val="Arial"/>
      <family val="2"/>
    </font>
    <font>
      <b/>
      <sz val="10"/>
      <color indexed="8"/>
      <name val="Arial"/>
      <family val="2"/>
    </font>
    <font>
      <sz val="10"/>
      <name val="MS Sans Serif"/>
      <family val="2"/>
    </font>
    <font>
      <sz val="8"/>
      <name val="Tahoma"/>
      <family val="2"/>
    </font>
    <font>
      <u/>
      <sz val="9"/>
      <color indexed="12"/>
      <name val="Arial"/>
      <family val="2"/>
    </font>
    <font>
      <b/>
      <sz val="12"/>
      <name val="Arial"/>
      <family val="2"/>
    </font>
    <font>
      <sz val="12"/>
      <name val="Times New Roman"/>
      <family val="1"/>
    </font>
    <font>
      <b/>
      <sz val="12"/>
      <name val="Times New Roman"/>
      <family val="1"/>
    </font>
    <font>
      <sz val="9"/>
      <name val="Arial"/>
      <family val="2"/>
    </font>
    <font>
      <sz val="10"/>
      <name val="Arial"/>
      <family val="2"/>
    </font>
    <font>
      <sz val="8"/>
      <name val="Arial"/>
      <family val="2"/>
    </font>
    <font>
      <sz val="10"/>
      <name val="Symbol"/>
      <family val="1"/>
      <charset val="2"/>
    </font>
    <font>
      <b/>
      <u/>
      <sz val="10"/>
      <name val="Arial"/>
      <family val="2"/>
    </font>
    <font>
      <b/>
      <sz val="14"/>
      <color rgb="FF000000"/>
      <name val="Arial"/>
      <family val="2"/>
    </font>
    <font>
      <b/>
      <sz val="9"/>
      <color indexed="81"/>
      <name val="Tahoma"/>
      <family val="2"/>
    </font>
    <font>
      <sz val="7"/>
      <name val="Times New Roman"/>
      <family val="1"/>
    </font>
    <font>
      <sz val="10"/>
      <name val="Arial"/>
      <family val="2"/>
    </font>
    <font>
      <b/>
      <sz val="10"/>
      <color rgb="FFC00000"/>
      <name val="Arial"/>
      <family val="2"/>
    </font>
    <font>
      <b/>
      <i/>
      <sz val="9"/>
      <name val="Arial"/>
      <family val="2"/>
    </font>
    <font>
      <b/>
      <sz val="9"/>
      <name val="Arial"/>
      <family val="2"/>
    </font>
    <font>
      <b/>
      <i/>
      <sz val="10"/>
      <name val="Arial"/>
      <family val="2"/>
    </font>
    <font>
      <i/>
      <sz val="12"/>
      <name val="Arial"/>
      <family val="2"/>
    </font>
    <font>
      <sz val="9"/>
      <color indexed="81"/>
      <name val="Tahoma"/>
      <family val="2"/>
    </font>
    <font>
      <b/>
      <sz val="11"/>
      <color rgb="FF0000FF"/>
      <name val="Arial"/>
      <family val="2"/>
    </font>
    <font>
      <sz val="10"/>
      <color rgb="FFFF0000"/>
      <name val="Arial"/>
      <family val="2"/>
    </font>
    <font>
      <b/>
      <i/>
      <sz val="12"/>
      <color rgb="FFC00000"/>
      <name val="Arial"/>
      <family val="2"/>
    </font>
    <font>
      <b/>
      <u/>
      <sz val="9"/>
      <color indexed="81"/>
      <name val="Tahoma"/>
      <family val="2"/>
    </font>
    <font>
      <sz val="10"/>
      <color rgb="FFC00000"/>
      <name val="Arial"/>
      <family val="2"/>
    </font>
    <font>
      <b/>
      <u/>
      <sz val="11"/>
      <color rgb="FFC00000"/>
      <name val="Arial"/>
      <family val="2"/>
    </font>
    <font>
      <b/>
      <u/>
      <sz val="11"/>
      <color rgb="FF002060"/>
      <name val="Arial"/>
      <family val="2"/>
    </font>
    <font>
      <b/>
      <u/>
      <sz val="11"/>
      <color indexed="12"/>
      <name val="Arial"/>
      <family val="2"/>
    </font>
    <font>
      <b/>
      <sz val="11"/>
      <name val="Arial"/>
      <family val="2"/>
    </font>
    <font>
      <b/>
      <u/>
      <sz val="9"/>
      <color rgb="FF002060"/>
      <name val="Arial"/>
      <family val="2"/>
    </font>
  </fonts>
  <fills count="10">
    <fill>
      <patternFill patternType="none"/>
    </fill>
    <fill>
      <patternFill patternType="gray125"/>
    </fill>
    <fill>
      <patternFill patternType="solid">
        <fgColor indexed="22"/>
        <bgColor indexed="64"/>
      </patternFill>
    </fill>
    <fill>
      <patternFill patternType="solid">
        <fgColor indexed="24"/>
        <bgColor indexed="64"/>
      </patternFill>
    </fill>
    <fill>
      <patternFill patternType="solid">
        <fgColor indexed="44"/>
        <bgColor indexed="64"/>
      </patternFill>
    </fill>
    <fill>
      <patternFill patternType="solid">
        <fgColor theme="0" tint="-4.9989318521683403E-2"/>
        <bgColor indexed="64"/>
      </patternFill>
    </fill>
    <fill>
      <patternFill patternType="solid">
        <fgColor theme="0"/>
        <bgColor indexed="64"/>
      </patternFill>
    </fill>
    <fill>
      <patternFill patternType="solid">
        <fgColor rgb="FFFFFF99"/>
        <bgColor indexed="64"/>
      </patternFill>
    </fill>
    <fill>
      <patternFill patternType="solid">
        <fgColor theme="8" tint="0.79998168889431442"/>
        <bgColor indexed="64"/>
      </patternFill>
    </fill>
    <fill>
      <patternFill patternType="solid">
        <fgColor theme="9" tint="0.79998168889431442"/>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top/>
      <bottom style="medium">
        <color indexed="64"/>
      </bottom>
      <diagonal/>
    </border>
  </borders>
  <cellStyleXfs count="6">
    <xf numFmtId="0" fontId="0" fillId="0" borderId="0"/>
    <xf numFmtId="0" fontId="5" fillId="0" borderId="0" applyNumberFormat="0" applyFill="0" applyBorder="0" applyAlignment="0" applyProtection="0">
      <alignment vertical="top"/>
      <protection locked="0"/>
    </xf>
    <xf numFmtId="0" fontId="3" fillId="0" borderId="0" applyNumberFormat="0" applyFont="0" applyFill="0" applyBorder="0" applyAlignment="0" applyProtection="0">
      <alignment horizontal="left"/>
    </xf>
    <xf numFmtId="4" fontId="3" fillId="0" borderId="0" applyFont="0" applyFill="0" applyBorder="0" applyAlignment="0" applyProtection="0"/>
    <xf numFmtId="3" fontId="3" fillId="0" borderId="0" applyFont="0" applyFill="0" applyBorder="0" applyAlignment="0" applyProtection="0"/>
    <xf numFmtId="43" fontId="17" fillId="0" borderId="0" applyFont="0" applyFill="0" applyBorder="0" applyAlignment="0" applyProtection="0"/>
  </cellStyleXfs>
  <cellXfs count="189">
    <xf numFmtId="0" fontId="0" fillId="0" borderId="0" xfId="0"/>
    <xf numFmtId="0" fontId="1" fillId="0" borderId="0" xfId="0" applyFont="1"/>
    <xf numFmtId="0" fontId="1" fillId="0" borderId="0" xfId="0" applyFont="1" applyProtection="1"/>
    <xf numFmtId="0" fontId="0" fillId="0" borderId="0" xfId="0" applyProtection="1"/>
    <xf numFmtId="0" fontId="6" fillId="0" borderId="0" xfId="0" applyFont="1"/>
    <xf numFmtId="0" fontId="7" fillId="0" borderId="0" xfId="0" applyFont="1"/>
    <xf numFmtId="0" fontId="8" fillId="0" borderId="0" xfId="0" applyFont="1"/>
    <xf numFmtId="49" fontId="10" fillId="0" borderId="7" xfId="0" applyNumberFormat="1" applyFont="1" applyBorder="1" applyAlignment="1" applyProtection="1">
      <protection locked="0"/>
    </xf>
    <xf numFmtId="165" fontId="9" fillId="0" borderId="7" xfId="0" applyNumberFormat="1" applyFont="1" applyFill="1" applyBorder="1" applyAlignment="1" applyProtection="1">
      <alignment horizontal="left"/>
      <protection locked="0"/>
    </xf>
    <xf numFmtId="38" fontId="1" fillId="3" borderId="6" xfId="0" applyNumberFormat="1" applyFont="1" applyFill="1" applyBorder="1" applyAlignment="1" applyProtection="1">
      <alignment horizontal="center"/>
    </xf>
    <xf numFmtId="40" fontId="1" fillId="3" borderId="6" xfId="0" applyNumberFormat="1" applyFont="1" applyFill="1" applyBorder="1" applyAlignment="1" applyProtection="1">
      <alignment horizontal="center"/>
    </xf>
    <xf numFmtId="0" fontId="2" fillId="0" borderId="0" xfId="0" applyFont="1" applyFill="1" applyAlignment="1" applyProtection="1">
      <alignment horizontal="right"/>
    </xf>
    <xf numFmtId="0" fontId="1" fillId="0" borderId="0" xfId="0" applyFont="1" applyBorder="1" applyProtection="1"/>
    <xf numFmtId="0" fontId="10" fillId="0" borderId="0" xfId="0" applyFont="1" applyProtection="1"/>
    <xf numFmtId="0" fontId="0" fillId="0" borderId="0" xfId="0" quotePrefix="1" applyProtection="1"/>
    <xf numFmtId="0" fontId="9" fillId="0" borderId="7" xfId="0" applyNumberFormat="1" applyFont="1" applyFill="1" applyBorder="1" applyAlignment="1" applyProtection="1">
      <alignment horizontal="left"/>
      <protection locked="0"/>
    </xf>
    <xf numFmtId="0" fontId="1" fillId="4" borderId="7" xfId="0" applyNumberFormat="1" applyFont="1" applyFill="1" applyBorder="1" applyAlignment="1">
      <alignment horizontal="center" wrapText="1"/>
    </xf>
    <xf numFmtId="0" fontId="1" fillId="4" borderId="8" xfId="0" applyNumberFormat="1" applyFont="1" applyFill="1" applyBorder="1" applyAlignment="1">
      <alignment horizontal="center" wrapText="1"/>
    </xf>
    <xf numFmtId="0" fontId="1" fillId="4" borderId="0" xfId="0" applyNumberFormat="1" applyFont="1" applyFill="1" applyAlignment="1">
      <alignment horizontal="center" wrapText="1"/>
    </xf>
    <xf numFmtId="0" fontId="1" fillId="0" borderId="0" xfId="0" applyNumberFormat="1" applyFont="1" applyAlignment="1">
      <alignment horizontal="center" wrapText="1"/>
    </xf>
    <xf numFmtId="0" fontId="0" fillId="0" borderId="0" xfId="0" applyNumberFormat="1"/>
    <xf numFmtId="0" fontId="0" fillId="0" borderId="0" xfId="0" applyNumberFormat="1" applyFont="1" applyFill="1"/>
    <xf numFmtId="0" fontId="0" fillId="0" borderId="0" xfId="0" applyNumberFormat="1" applyFill="1" applyProtection="1"/>
    <xf numFmtId="0" fontId="0" fillId="0" borderId="0" xfId="0" applyNumberFormat="1" applyFill="1"/>
    <xf numFmtId="0" fontId="0" fillId="0" borderId="0" xfId="0" applyNumberFormat="1" applyFill="1" applyProtection="1">
      <protection locked="0"/>
    </xf>
    <xf numFmtId="0" fontId="1" fillId="0" borderId="0" xfId="0" applyFont="1" applyAlignment="1">
      <alignment horizontal="left"/>
    </xf>
    <xf numFmtId="0" fontId="1" fillId="0" borderId="0" xfId="0" applyFont="1" applyAlignment="1">
      <alignment horizontal="center"/>
    </xf>
    <xf numFmtId="0" fontId="10" fillId="0" borderId="0" xfId="0" applyFont="1" applyAlignment="1">
      <alignment horizontal="left"/>
    </xf>
    <xf numFmtId="0" fontId="12" fillId="0" borderId="0" xfId="0" applyFont="1" applyAlignment="1">
      <alignment horizontal="left" indent="9"/>
    </xf>
    <xf numFmtId="0" fontId="13" fillId="0" borderId="0" xfId="0" applyFont="1" applyAlignment="1">
      <alignment horizontal="left"/>
    </xf>
    <xf numFmtId="0" fontId="10" fillId="0" borderId="0" xfId="0" applyNumberFormat="1" applyFont="1" applyAlignment="1">
      <alignment horizontal="left"/>
    </xf>
    <xf numFmtId="0" fontId="10" fillId="0" borderId="0" xfId="0" applyFont="1"/>
    <xf numFmtId="0" fontId="1" fillId="0" borderId="15" xfId="0" applyFont="1" applyBorder="1" applyAlignment="1">
      <alignment horizontal="left"/>
    </xf>
    <xf numFmtId="0" fontId="0" fillId="0" borderId="16" xfId="0" applyBorder="1"/>
    <xf numFmtId="0" fontId="0" fillId="0" borderId="17" xfId="0" applyBorder="1"/>
    <xf numFmtId="0" fontId="9" fillId="0" borderId="7" xfId="0" quotePrefix="1" applyNumberFormat="1" applyFont="1" applyFill="1" applyBorder="1" applyAlignment="1" applyProtection="1">
      <alignment horizontal="left"/>
      <protection locked="0"/>
    </xf>
    <xf numFmtId="49" fontId="4" fillId="0" borderId="0" xfId="0" applyNumberFormat="1" applyFont="1" applyAlignment="1">
      <alignment horizontal="left" vertical="top" wrapText="1"/>
    </xf>
    <xf numFmtId="49" fontId="4" fillId="0" borderId="0" xfId="0" applyNumberFormat="1" applyFont="1" applyAlignment="1">
      <alignment horizontal="left" vertical="top"/>
    </xf>
    <xf numFmtId="49" fontId="4" fillId="5" borderId="0" xfId="0" applyNumberFormat="1" applyFont="1" applyFill="1" applyAlignment="1">
      <alignment horizontal="left" vertical="top" wrapText="1"/>
    </xf>
    <xf numFmtId="49" fontId="4" fillId="5" borderId="0" xfId="0" applyNumberFormat="1" applyFont="1" applyFill="1" applyAlignment="1">
      <alignment horizontal="left" vertical="top"/>
    </xf>
    <xf numFmtId="49" fontId="4" fillId="6" borderId="0" xfId="0" applyNumberFormat="1" applyFont="1" applyFill="1" applyBorder="1" applyAlignment="1">
      <alignment horizontal="left" vertical="top"/>
    </xf>
    <xf numFmtId="49" fontId="4" fillId="6" borderId="14" xfId="0" applyNumberFormat="1" applyFont="1" applyFill="1" applyBorder="1" applyAlignment="1">
      <alignment horizontal="left" vertical="top"/>
    </xf>
    <xf numFmtId="49" fontId="4" fillId="6" borderId="20" xfId="0" applyNumberFormat="1" applyFont="1" applyFill="1" applyBorder="1" applyAlignment="1">
      <alignment horizontal="left" vertical="top"/>
    </xf>
    <xf numFmtId="49" fontId="4" fillId="5" borderId="0" xfId="0" applyNumberFormat="1" applyFont="1" applyFill="1" applyBorder="1" applyAlignment="1">
      <alignment horizontal="left" vertical="top" wrapText="1"/>
    </xf>
    <xf numFmtId="49" fontId="4" fillId="5" borderId="19" xfId="0" applyNumberFormat="1" applyFont="1" applyFill="1" applyBorder="1" applyAlignment="1">
      <alignment horizontal="left" vertical="top" wrapText="1"/>
    </xf>
    <xf numFmtId="0" fontId="4" fillId="5" borderId="20" xfId="0" applyFont="1" applyFill="1" applyBorder="1" applyAlignment="1">
      <alignment horizontal="left" vertical="top"/>
    </xf>
    <xf numFmtId="49" fontId="4" fillId="5" borderId="20" xfId="0" applyNumberFormat="1" applyFont="1" applyFill="1" applyBorder="1" applyAlignment="1">
      <alignment horizontal="left" vertical="top" wrapText="1"/>
    </xf>
    <xf numFmtId="49" fontId="4" fillId="5" borderId="21" xfId="0" applyNumberFormat="1" applyFont="1" applyFill="1" applyBorder="1" applyAlignment="1">
      <alignment horizontal="left" vertical="top" wrapText="1"/>
    </xf>
    <xf numFmtId="49" fontId="4" fillId="5" borderId="4" xfId="0" applyNumberFormat="1" applyFont="1" applyFill="1" applyBorder="1" applyAlignment="1">
      <alignment horizontal="left" vertical="top" wrapText="1"/>
    </xf>
    <xf numFmtId="49" fontId="4" fillId="5" borderId="0" xfId="0" applyNumberFormat="1" applyFont="1" applyFill="1" applyBorder="1" applyAlignment="1">
      <alignment horizontal="left" vertical="top"/>
    </xf>
    <xf numFmtId="49" fontId="4" fillId="5" borderId="22" xfId="0" applyNumberFormat="1" applyFont="1" applyFill="1" applyBorder="1" applyAlignment="1">
      <alignment horizontal="left" vertical="top" wrapText="1"/>
    </xf>
    <xf numFmtId="49" fontId="4" fillId="5" borderId="20" xfId="0" applyNumberFormat="1" applyFont="1" applyFill="1" applyBorder="1" applyAlignment="1">
      <alignment horizontal="left" vertical="top"/>
    </xf>
    <xf numFmtId="49" fontId="4" fillId="5" borderId="23" xfId="0" applyNumberFormat="1" applyFont="1" applyFill="1" applyBorder="1" applyAlignment="1">
      <alignment horizontal="left" vertical="top" wrapText="1"/>
    </xf>
    <xf numFmtId="49" fontId="4" fillId="5" borderId="14" xfId="0" applyNumberFormat="1" applyFont="1" applyFill="1" applyBorder="1" applyAlignment="1">
      <alignment horizontal="left" vertical="top"/>
    </xf>
    <xf numFmtId="49" fontId="4" fillId="5" borderId="14" xfId="0" applyNumberFormat="1" applyFont="1" applyFill="1" applyBorder="1" applyAlignment="1">
      <alignment horizontal="left" vertical="top" wrapText="1"/>
    </xf>
    <xf numFmtId="49" fontId="4" fillId="5" borderId="24" xfId="0" applyNumberFormat="1" applyFont="1" applyFill="1" applyBorder="1" applyAlignment="1">
      <alignment horizontal="left" vertical="top" wrapText="1"/>
    </xf>
    <xf numFmtId="49" fontId="4" fillId="5" borderId="6" xfId="0" applyNumberFormat="1" applyFont="1" applyFill="1" applyBorder="1" applyAlignment="1">
      <alignment horizontal="left" vertical="top" wrapText="1"/>
    </xf>
    <xf numFmtId="166" fontId="4" fillId="0" borderId="0" xfId="0" applyNumberFormat="1" applyFont="1" applyAlignment="1">
      <alignment horizontal="left" vertical="top"/>
    </xf>
    <xf numFmtId="49" fontId="4" fillId="5" borderId="12" xfId="0" applyNumberFormat="1" applyFont="1" applyFill="1" applyBorder="1" applyAlignment="1">
      <alignment horizontal="left" vertical="top"/>
    </xf>
    <xf numFmtId="166" fontId="4" fillId="5" borderId="25" xfId="0" applyNumberFormat="1" applyFont="1" applyFill="1" applyBorder="1" applyAlignment="1">
      <alignment horizontal="left" vertical="top"/>
    </xf>
    <xf numFmtId="49" fontId="4" fillId="5" borderId="25" xfId="0" applyNumberFormat="1" applyFont="1" applyFill="1" applyBorder="1" applyAlignment="1">
      <alignment horizontal="left" vertical="top"/>
    </xf>
    <xf numFmtId="49" fontId="4" fillId="5" borderId="13" xfId="0" applyNumberFormat="1" applyFont="1" applyFill="1" applyBorder="1" applyAlignment="1">
      <alignment horizontal="left" vertical="top"/>
    </xf>
    <xf numFmtId="49" fontId="4" fillId="6" borderId="19" xfId="0" applyNumberFormat="1" applyFont="1" applyFill="1" applyBorder="1" applyAlignment="1">
      <alignment horizontal="left" vertical="top"/>
    </xf>
    <xf numFmtId="166" fontId="4" fillId="6" borderId="20" xfId="0" applyNumberFormat="1" applyFont="1" applyFill="1" applyBorder="1" applyAlignment="1">
      <alignment horizontal="left" vertical="top"/>
    </xf>
    <xf numFmtId="49" fontId="4" fillId="6" borderId="21" xfId="0" applyNumberFormat="1" applyFont="1" applyFill="1" applyBorder="1" applyAlignment="1">
      <alignment horizontal="left" vertical="top"/>
    </xf>
    <xf numFmtId="49" fontId="4" fillId="6" borderId="4" xfId="0" applyNumberFormat="1" applyFont="1" applyFill="1" applyBorder="1" applyAlignment="1">
      <alignment horizontal="left" vertical="top"/>
    </xf>
    <xf numFmtId="166" fontId="4" fillId="6" borderId="0" xfId="0" applyNumberFormat="1" applyFont="1" applyFill="1" applyBorder="1" applyAlignment="1">
      <alignment horizontal="left" vertical="top"/>
    </xf>
    <xf numFmtId="49" fontId="4" fillId="6" borderId="22" xfId="0" applyNumberFormat="1" applyFont="1" applyFill="1" applyBorder="1" applyAlignment="1">
      <alignment horizontal="left" vertical="top"/>
    </xf>
    <xf numFmtId="49" fontId="4" fillId="6" borderId="23" xfId="0" applyNumberFormat="1" applyFont="1" applyFill="1" applyBorder="1" applyAlignment="1">
      <alignment horizontal="left" vertical="top"/>
    </xf>
    <xf numFmtId="166" fontId="4" fillId="6" borderId="14" xfId="0" applyNumberFormat="1" applyFont="1" applyFill="1" applyBorder="1" applyAlignment="1">
      <alignment horizontal="left" vertical="top"/>
    </xf>
    <xf numFmtId="49" fontId="4" fillId="6" borderId="24" xfId="0" applyNumberFormat="1" applyFont="1" applyFill="1" applyBorder="1" applyAlignment="1">
      <alignment horizontal="left" vertical="top"/>
    </xf>
    <xf numFmtId="0" fontId="0" fillId="0" borderId="0" xfId="0" applyNumberFormat="1" applyFont="1" applyFill="1" applyAlignment="1">
      <alignment horizontal="left"/>
    </xf>
    <xf numFmtId="49" fontId="4" fillId="0" borderId="7" xfId="0" applyNumberFormat="1" applyFont="1" applyBorder="1" applyAlignment="1" applyProtection="1">
      <alignment horizontal="left" vertical="top" wrapText="1"/>
      <protection locked="0"/>
    </xf>
    <xf numFmtId="49" fontId="4" fillId="5" borderId="0" xfId="0" applyNumberFormat="1" applyFont="1" applyFill="1" applyBorder="1" applyAlignment="1" applyProtection="1">
      <alignment horizontal="left" vertical="top" wrapText="1"/>
      <protection locked="0"/>
    </xf>
    <xf numFmtId="49" fontId="4" fillId="5" borderId="20" xfId="0" applyNumberFormat="1" applyFont="1" applyFill="1" applyBorder="1" applyAlignment="1" applyProtection="1">
      <alignment horizontal="left" vertical="top" wrapText="1"/>
    </xf>
    <xf numFmtId="49" fontId="4" fillId="5" borderId="0" xfId="0" applyNumberFormat="1" applyFont="1" applyFill="1" applyBorder="1" applyAlignment="1" applyProtection="1">
      <alignment horizontal="left" vertical="top"/>
    </xf>
    <xf numFmtId="0" fontId="4" fillId="5" borderId="0" xfId="0" applyFont="1" applyFill="1"/>
    <xf numFmtId="0" fontId="5" fillId="0" borderId="0" xfId="1" applyAlignment="1" applyProtection="1">
      <alignment horizontal="left"/>
    </xf>
    <xf numFmtId="0" fontId="10" fillId="0" borderId="7" xfId="0" applyFont="1" applyBorder="1" applyProtection="1"/>
    <xf numFmtId="49" fontId="10" fillId="0" borderId="7" xfId="0" applyNumberFormat="1" applyFont="1" applyBorder="1" applyAlignment="1" applyProtection="1">
      <alignment wrapText="1"/>
      <protection locked="0"/>
    </xf>
    <xf numFmtId="49" fontId="10" fillId="0" borderId="7" xfId="0" applyNumberFormat="1" applyFont="1" applyFill="1" applyBorder="1" applyProtection="1">
      <protection locked="0"/>
    </xf>
    <xf numFmtId="49" fontId="10" fillId="0" borderId="7" xfId="0" applyNumberFormat="1" applyFont="1" applyBorder="1" applyProtection="1">
      <protection locked="0"/>
    </xf>
    <xf numFmtId="40" fontId="10" fillId="0" borderId="7" xfId="0" applyNumberFormat="1" applyFont="1" applyBorder="1" applyProtection="1">
      <protection locked="0"/>
    </xf>
    <xf numFmtId="0" fontId="10" fillId="0" borderId="7" xfId="0" applyFont="1" applyBorder="1" applyAlignment="1" applyProtection="1">
      <alignment horizontal="left"/>
    </xf>
    <xf numFmtId="0" fontId="1" fillId="0" borderId="0" xfId="0" applyFont="1" applyFill="1" applyBorder="1" applyAlignment="1" applyProtection="1">
      <alignment horizontal="center"/>
      <protection locked="0"/>
    </xf>
    <xf numFmtId="0" fontId="1" fillId="3" borderId="6" xfId="0" applyNumberFormat="1" applyFont="1" applyFill="1" applyBorder="1" applyAlignment="1" applyProtection="1">
      <alignment horizontal="center"/>
      <protection locked="0"/>
    </xf>
    <xf numFmtId="0" fontId="9" fillId="0" borderId="0" xfId="0" applyFont="1" applyProtection="1"/>
    <xf numFmtId="0" fontId="19" fillId="0" borderId="0" xfId="0" applyFont="1" applyAlignment="1" applyProtection="1"/>
    <xf numFmtId="0" fontId="21" fillId="0" borderId="0" xfId="0" applyFont="1" applyAlignment="1" applyProtection="1"/>
    <xf numFmtId="0" fontId="0" fillId="0" borderId="14" xfId="0" applyBorder="1" applyAlignment="1" applyProtection="1">
      <alignment wrapText="1"/>
    </xf>
    <xf numFmtId="14" fontId="1" fillId="0" borderId="0" xfId="0" applyNumberFormat="1" applyFont="1" applyFill="1" applyBorder="1" applyAlignment="1" applyProtection="1">
      <alignment horizontal="center"/>
      <protection locked="0"/>
    </xf>
    <xf numFmtId="167" fontId="1" fillId="7" borderId="6" xfId="0" applyNumberFormat="1" applyFont="1" applyFill="1" applyBorder="1" applyAlignment="1" applyProtection="1">
      <alignment horizontal="center"/>
      <protection locked="0"/>
    </xf>
    <xf numFmtId="40" fontId="1" fillId="8" borderId="6" xfId="0" applyNumberFormat="1" applyFont="1" applyFill="1" applyBorder="1" applyAlignment="1" applyProtection="1">
      <alignment horizontal="center"/>
    </xf>
    <xf numFmtId="49" fontId="10" fillId="0" borderId="6" xfId="0" applyNumberFormat="1" applyFont="1" applyBorder="1" applyAlignment="1" applyProtection="1">
      <alignment wrapText="1"/>
      <protection locked="0"/>
    </xf>
    <xf numFmtId="49" fontId="10" fillId="0" borderId="6" xfId="0" applyNumberFormat="1" applyFont="1" applyFill="1" applyBorder="1" applyProtection="1">
      <protection locked="0"/>
    </xf>
    <xf numFmtId="49" fontId="10" fillId="0" borderId="6" xfId="0" applyNumberFormat="1" applyFont="1" applyBorder="1" applyProtection="1">
      <protection locked="0"/>
    </xf>
    <xf numFmtId="40" fontId="10" fillId="0" borderId="6" xfId="0" applyNumberFormat="1" applyFont="1" applyBorder="1" applyProtection="1">
      <protection locked="0"/>
    </xf>
    <xf numFmtId="49" fontId="10" fillId="0" borderId="6" xfId="0" applyNumberFormat="1" applyFont="1" applyBorder="1" applyAlignment="1" applyProtection="1">
      <protection locked="0"/>
    </xf>
    <xf numFmtId="0" fontId="0" fillId="0" borderId="0" xfId="0" applyProtection="1">
      <protection locked="0"/>
    </xf>
    <xf numFmtId="0" fontId="1" fillId="0" borderId="0" xfId="0" applyFont="1" applyProtection="1">
      <protection locked="0"/>
    </xf>
    <xf numFmtId="164" fontId="1" fillId="0" borderId="0" xfId="0" applyNumberFormat="1" applyFont="1" applyProtection="1">
      <protection locked="0"/>
    </xf>
    <xf numFmtId="0" fontId="10" fillId="0" borderId="0" xfId="0" applyFont="1" applyProtection="1">
      <protection locked="0"/>
    </xf>
    <xf numFmtId="0" fontId="10" fillId="0" borderId="0" xfId="0" applyFont="1" applyAlignment="1" applyProtection="1">
      <alignment wrapText="1"/>
      <protection locked="0"/>
    </xf>
    <xf numFmtId="0" fontId="1" fillId="0" borderId="14" xfId="0" applyFont="1" applyBorder="1" applyProtection="1">
      <protection locked="0"/>
    </xf>
    <xf numFmtId="0" fontId="21" fillId="0" borderId="0" xfId="0" applyFont="1" applyAlignment="1" applyProtection="1">
      <protection locked="0"/>
    </xf>
    <xf numFmtId="0" fontId="22" fillId="0" borderId="0" xfId="0" applyFont="1" applyAlignment="1" applyProtection="1">
      <protection locked="0"/>
    </xf>
    <xf numFmtId="0" fontId="1" fillId="0" borderId="0" xfId="0" applyFont="1" applyBorder="1" applyProtection="1">
      <protection locked="0"/>
    </xf>
    <xf numFmtId="0" fontId="9" fillId="0" borderId="0" xfId="0" applyFont="1" applyProtection="1">
      <protection locked="0"/>
    </xf>
    <xf numFmtId="0" fontId="0" fillId="0" borderId="0" xfId="0" applyFill="1" applyBorder="1" applyProtection="1">
      <protection locked="0"/>
    </xf>
    <xf numFmtId="164" fontId="1" fillId="0" borderId="0" xfId="0" applyNumberFormat="1" applyFont="1" applyFill="1" applyBorder="1" applyAlignment="1" applyProtection="1">
      <alignment horizontal="center"/>
      <protection locked="0"/>
    </xf>
    <xf numFmtId="164" fontId="10"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horizontal="center"/>
      <protection locked="0"/>
    </xf>
    <xf numFmtId="0" fontId="20" fillId="2" borderId="3" xfId="0" applyFont="1" applyFill="1" applyBorder="1" applyAlignment="1" applyProtection="1">
      <alignment horizontal="center"/>
      <protection locked="0"/>
    </xf>
    <xf numFmtId="0" fontId="0" fillId="0" borderId="0" xfId="0" applyAlignment="1" applyProtection="1">
      <alignment wrapText="1"/>
      <protection locked="0"/>
    </xf>
    <xf numFmtId="0" fontId="10" fillId="3" borderId="6" xfId="0" applyFont="1" applyFill="1" applyBorder="1" applyAlignment="1" applyProtection="1">
      <alignment horizontal="left"/>
      <protection locked="0" hidden="1"/>
    </xf>
    <xf numFmtId="167" fontId="10" fillId="0" borderId="6" xfId="0" applyNumberFormat="1" applyFont="1" applyBorder="1" applyProtection="1">
      <protection locked="0"/>
    </xf>
    <xf numFmtId="0" fontId="10" fillId="0" borderId="6" xfId="0" applyFont="1" applyBorder="1" applyProtection="1">
      <protection locked="0"/>
    </xf>
    <xf numFmtId="0" fontId="10" fillId="0" borderId="7" xfId="0" applyFont="1" applyBorder="1" applyProtection="1">
      <protection locked="0"/>
    </xf>
    <xf numFmtId="0" fontId="10" fillId="3" borderId="7" xfId="0" applyFont="1" applyFill="1" applyBorder="1" applyAlignment="1" applyProtection="1">
      <alignment horizontal="left"/>
      <protection locked="0" hidden="1"/>
    </xf>
    <xf numFmtId="167" fontId="10" fillId="0" borderId="7" xfId="0" applyNumberFormat="1" applyFont="1" applyBorder="1" applyProtection="1">
      <protection locked="0"/>
    </xf>
    <xf numFmtId="0" fontId="0" fillId="0" borderId="0" xfId="0" quotePrefix="1" applyAlignment="1" applyProtection="1">
      <alignment wrapText="1"/>
      <protection locked="0"/>
    </xf>
    <xf numFmtId="0" fontId="0" fillId="0" borderId="0" xfId="0" quotePrefix="1" applyProtection="1">
      <protection locked="0"/>
    </xf>
    <xf numFmtId="0" fontId="0" fillId="0" borderId="0" xfId="0" quotePrefix="1" applyNumberFormat="1" applyProtection="1">
      <protection locked="0"/>
    </xf>
    <xf numFmtId="0" fontId="0" fillId="0" borderId="0" xfId="0" quotePrefix="1" applyAlignment="1" applyProtection="1">
      <protection locked="0"/>
    </xf>
    <xf numFmtId="39" fontId="1" fillId="8" borderId="6" xfId="5" applyNumberFormat="1" applyFont="1" applyFill="1" applyBorder="1" applyAlignment="1" applyProtection="1">
      <alignment horizontal="center"/>
    </xf>
    <xf numFmtId="0" fontId="1" fillId="0" borderId="0" xfId="0" applyFont="1" applyProtection="1">
      <protection locked="0" hidden="1"/>
    </xf>
    <xf numFmtId="0" fontId="10" fillId="0" borderId="14" xfId="0" applyFont="1" applyBorder="1" applyAlignment="1" applyProtection="1">
      <alignment wrapText="1"/>
    </xf>
    <xf numFmtId="0" fontId="28" fillId="0" borderId="0" xfId="0" applyFont="1" applyAlignment="1">
      <alignment horizontal="left"/>
    </xf>
    <xf numFmtId="43" fontId="0" fillId="0" borderId="0" xfId="5" applyFont="1"/>
    <xf numFmtId="43" fontId="10" fillId="0" borderId="0" xfId="5" applyFont="1" applyAlignment="1">
      <alignment horizontal="left"/>
    </xf>
    <xf numFmtId="0" fontId="29" fillId="0" borderId="0" xfId="0" applyFont="1" applyAlignment="1">
      <alignment horizontal="left"/>
    </xf>
    <xf numFmtId="0" fontId="30" fillId="0" borderId="0" xfId="0" applyFont="1" applyAlignment="1">
      <alignment horizontal="left"/>
    </xf>
    <xf numFmtId="0" fontId="29" fillId="0" borderId="0" xfId="0" applyFont="1"/>
    <xf numFmtId="0" fontId="0" fillId="0" borderId="27" xfId="0" applyBorder="1"/>
    <xf numFmtId="0" fontId="31" fillId="0" borderId="0" xfId="1" applyFont="1" applyAlignment="1" applyProtection="1">
      <alignment horizontal="left"/>
    </xf>
    <xf numFmtId="0" fontId="32" fillId="0" borderId="0" xfId="0" applyFont="1" applyAlignment="1">
      <alignment horizontal="center"/>
    </xf>
    <xf numFmtId="0" fontId="28" fillId="0" borderId="0" xfId="0" applyFont="1"/>
    <xf numFmtId="0" fontId="10" fillId="0" borderId="0" xfId="5" applyNumberFormat="1" applyFont="1" applyAlignment="1">
      <alignment horizontal="left"/>
    </xf>
    <xf numFmtId="0" fontId="0" fillId="0" borderId="0" xfId="5" applyNumberFormat="1" applyFont="1" applyAlignment="1"/>
    <xf numFmtId="0" fontId="0" fillId="0" borderId="0" xfId="0" applyNumberFormat="1" applyAlignment="1"/>
    <xf numFmtId="0" fontId="1" fillId="0" borderId="14" xfId="0" applyFont="1" applyBorder="1" applyProtection="1"/>
    <xf numFmtId="0" fontId="1" fillId="9" borderId="1" xfId="0" applyFont="1" applyFill="1" applyBorder="1" applyAlignment="1" applyProtection="1">
      <alignment horizontal="center"/>
    </xf>
    <xf numFmtId="164" fontId="1" fillId="2" borderId="1" xfId="0" applyNumberFormat="1" applyFont="1" applyFill="1" applyBorder="1" applyAlignment="1" applyProtection="1">
      <alignment horizontal="center"/>
    </xf>
    <xf numFmtId="0" fontId="1" fillId="2" borderId="2" xfId="0" applyFont="1" applyFill="1" applyBorder="1" applyAlignment="1" applyProtection="1">
      <alignment horizontal="center"/>
    </xf>
    <xf numFmtId="0" fontId="1" fillId="3" borderId="6" xfId="0" applyFont="1" applyFill="1" applyBorder="1" applyAlignment="1" applyProtection="1">
      <alignment horizontal="center"/>
    </xf>
    <xf numFmtId="0" fontId="1" fillId="2" borderId="3" xfId="0" applyFont="1" applyFill="1" applyBorder="1" applyAlignment="1" applyProtection="1">
      <alignment horizontal="center"/>
    </xf>
    <xf numFmtId="0" fontId="1" fillId="2" borderId="26" xfId="0" applyFont="1" applyFill="1" applyBorder="1" applyAlignment="1" applyProtection="1">
      <alignment horizontal="center" vertical="center" wrapText="1"/>
    </xf>
    <xf numFmtId="0" fontId="18" fillId="9" borderId="5" xfId="0" applyFont="1" applyFill="1" applyBorder="1" applyAlignment="1" applyProtection="1">
      <alignment horizontal="center" vertical="center" wrapText="1"/>
    </xf>
    <xf numFmtId="0" fontId="18" fillId="9" borderId="1"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9" borderId="1" xfId="0" applyFont="1" applyFill="1" applyBorder="1" applyAlignment="1" applyProtection="1">
      <alignment horizontal="center" vertical="center" wrapText="1"/>
    </xf>
    <xf numFmtId="0" fontId="1" fillId="9" borderId="11" xfId="0" applyFont="1" applyFill="1" applyBorder="1" applyAlignment="1" applyProtection="1">
      <alignment horizontal="center" vertical="center" wrapText="1"/>
    </xf>
    <xf numFmtId="0" fontId="1" fillId="2" borderId="2" xfId="0" applyFont="1" applyFill="1" applyBorder="1" applyAlignment="1" applyProtection="1">
      <alignment vertical="center" wrapText="1"/>
    </xf>
    <xf numFmtId="0" fontId="18" fillId="9" borderId="2" xfId="0" applyFont="1" applyFill="1" applyBorder="1" applyAlignment="1" applyProtection="1">
      <alignment vertical="center" wrapText="1"/>
    </xf>
    <xf numFmtId="0" fontId="1" fillId="9" borderId="2" xfId="0" applyFont="1" applyFill="1" applyBorder="1" applyAlignment="1" applyProtection="1">
      <alignment vertical="center" wrapText="1"/>
    </xf>
    <xf numFmtId="0" fontId="1" fillId="0" borderId="15" xfId="0" applyFont="1" applyBorder="1" applyProtection="1"/>
    <xf numFmtId="164" fontId="1" fillId="0" borderId="17" xfId="0" applyNumberFormat="1" applyFont="1" applyBorder="1" applyProtection="1"/>
    <xf numFmtId="164" fontId="1" fillId="0" borderId="0" xfId="0" applyNumberFormat="1" applyFont="1" applyProtection="1"/>
    <xf numFmtId="164" fontId="10" fillId="0" borderId="0" xfId="0" applyNumberFormat="1" applyFont="1" applyProtection="1"/>
    <xf numFmtId="0" fontId="26" fillId="0" borderId="0" xfId="0" applyFont="1" applyAlignment="1" applyProtection="1"/>
    <xf numFmtId="165" fontId="9" fillId="3" borderId="7" xfId="0" applyNumberFormat="1" applyFont="1" applyFill="1" applyBorder="1" applyAlignment="1" applyProtection="1">
      <alignment horizontal="left"/>
    </xf>
    <xf numFmtId="0" fontId="9" fillId="3" borderId="7" xfId="0" applyNumberFormat="1" applyFont="1" applyFill="1" applyBorder="1" applyAlignment="1" applyProtection="1">
      <alignment horizontal="left"/>
    </xf>
    <xf numFmtId="0" fontId="9" fillId="3" borderId="7" xfId="0" quotePrefix="1" applyNumberFormat="1" applyFont="1" applyFill="1" applyBorder="1" applyAlignment="1" applyProtection="1">
      <alignment horizontal="left"/>
    </xf>
    <xf numFmtId="165" fontId="9" fillId="3" borderId="6" xfId="0" applyNumberFormat="1" applyFont="1" applyFill="1" applyBorder="1" applyAlignment="1" applyProtection="1">
      <alignment horizontal="left"/>
    </xf>
    <xf numFmtId="0" fontId="9" fillId="3" borderId="6" xfId="0" applyNumberFormat="1" applyFont="1" applyFill="1" applyBorder="1" applyAlignment="1" applyProtection="1">
      <alignment horizontal="left"/>
    </xf>
    <xf numFmtId="0" fontId="9" fillId="3" borderId="6" xfId="0" quotePrefix="1" applyNumberFormat="1" applyFont="1" applyFill="1" applyBorder="1" applyAlignment="1" applyProtection="1">
      <alignment horizontal="left"/>
    </xf>
    <xf numFmtId="164" fontId="1" fillId="7" borderId="15" xfId="0" applyNumberFormat="1" applyFont="1" applyFill="1" applyBorder="1" applyAlignment="1" applyProtection="1">
      <protection locked="0"/>
    </xf>
    <xf numFmtId="0" fontId="0" fillId="0" borderId="16" xfId="0" applyBorder="1" applyAlignment="1"/>
    <xf numFmtId="0" fontId="0" fillId="0" borderId="17" xfId="0" applyBorder="1" applyAlignment="1"/>
    <xf numFmtId="0" fontId="19" fillId="0" borderId="0" xfId="0" applyFont="1" applyAlignment="1" applyProtection="1">
      <alignment horizontal="left"/>
      <protection locked="0"/>
    </xf>
    <xf numFmtId="0" fontId="1" fillId="9" borderId="11" xfId="0" applyFont="1" applyFill="1" applyBorder="1" applyAlignment="1" applyProtection="1">
      <alignment horizontal="center"/>
    </xf>
    <xf numFmtId="0" fontId="1" fillId="9" borderId="5" xfId="0" applyFont="1" applyFill="1" applyBorder="1" applyAlignment="1" applyProtection="1">
      <alignment horizontal="center"/>
    </xf>
    <xf numFmtId="0" fontId="1" fillId="7" borderId="9" xfId="0" applyFont="1" applyFill="1" applyBorder="1" applyAlignment="1" applyProtection="1">
      <alignment horizontal="center"/>
      <protection locked="0"/>
    </xf>
    <xf numFmtId="0" fontId="1" fillId="7" borderId="10" xfId="0" applyFont="1" applyFill="1" applyBorder="1" applyAlignment="1" applyProtection="1">
      <alignment horizontal="center"/>
      <protection locked="0"/>
    </xf>
    <xf numFmtId="0" fontId="1" fillId="2" borderId="15" xfId="0" applyFont="1" applyFill="1" applyBorder="1" applyAlignment="1" applyProtection="1">
      <alignment horizontal="center"/>
    </xf>
    <xf numFmtId="0" fontId="1" fillId="2" borderId="16" xfId="0" applyFont="1" applyFill="1" applyBorder="1" applyAlignment="1" applyProtection="1">
      <alignment horizontal="center"/>
    </xf>
    <xf numFmtId="0" fontId="1" fillId="2" borderId="17" xfId="0" applyFont="1" applyFill="1" applyBorder="1" applyAlignment="1" applyProtection="1">
      <alignment horizontal="center"/>
    </xf>
    <xf numFmtId="49" fontId="1" fillId="7" borderId="9" xfId="0" applyNumberFormat="1" applyFont="1" applyFill="1" applyBorder="1" applyAlignment="1" applyProtection="1">
      <alignment wrapText="1"/>
      <protection locked="0"/>
    </xf>
    <xf numFmtId="49" fontId="1" fillId="7" borderId="18" xfId="0" applyNumberFormat="1" applyFont="1" applyFill="1" applyBorder="1" applyAlignment="1" applyProtection="1">
      <alignment wrapText="1"/>
      <protection locked="0"/>
    </xf>
    <xf numFmtId="49" fontId="1" fillId="7" borderId="10" xfId="0" applyNumberFormat="1" applyFont="1" applyFill="1" applyBorder="1" applyAlignment="1" applyProtection="1">
      <alignment wrapText="1"/>
      <protection locked="0"/>
    </xf>
    <xf numFmtId="0" fontId="1" fillId="2" borderId="3" xfId="0" applyFont="1" applyFill="1" applyBorder="1" applyAlignment="1" applyProtection="1">
      <alignment horizontal="center"/>
    </xf>
    <xf numFmtId="0" fontId="0" fillId="0" borderId="3" xfId="0" applyBorder="1" applyAlignment="1" applyProtection="1"/>
    <xf numFmtId="0" fontId="1" fillId="7" borderId="6" xfId="0" applyFont="1" applyFill="1" applyBorder="1" applyAlignment="1" applyProtection="1">
      <alignment horizontal="center"/>
      <protection locked="0"/>
    </xf>
    <xf numFmtId="0" fontId="0" fillId="7" borderId="6" xfId="0" applyFill="1" applyBorder="1" applyAlignment="1" applyProtection="1">
      <protection locked="0"/>
    </xf>
    <xf numFmtId="0" fontId="1" fillId="9" borderId="15" xfId="0" applyFont="1" applyFill="1" applyBorder="1" applyAlignment="1" applyProtection="1">
      <alignment horizontal="center"/>
    </xf>
    <xf numFmtId="49" fontId="4" fillId="5" borderId="12" xfId="0" applyNumberFormat="1" applyFont="1" applyFill="1" applyBorder="1" applyAlignment="1">
      <alignment horizontal="left" vertical="top" wrapText="1"/>
    </xf>
    <xf numFmtId="49" fontId="4" fillId="5" borderId="25" xfId="0" applyNumberFormat="1" applyFont="1" applyFill="1" applyBorder="1" applyAlignment="1">
      <alignment horizontal="left" vertical="top" wrapText="1"/>
    </xf>
    <xf numFmtId="49" fontId="4" fillId="5" borderId="13" xfId="0" applyNumberFormat="1" applyFont="1" applyFill="1" applyBorder="1" applyAlignment="1">
      <alignment horizontal="left" vertical="top" wrapText="1"/>
    </xf>
  </cellXfs>
  <cellStyles count="6">
    <cellStyle name="Comma" xfId="5" builtinId="3"/>
    <cellStyle name="Hyperlink" xfId="1" builtinId="8"/>
    <cellStyle name="Normal" xfId="0" builtinId="0"/>
    <cellStyle name="PSChar" xfId="2"/>
    <cellStyle name="PSDec" xfId="3"/>
    <cellStyle name="PSInt" xfId="4"/>
  </cellStyles>
  <dxfs count="12">
    <dxf>
      <protection locked="1" hidden="0"/>
    </dxf>
    <dxf>
      <protection locked="1" hidden="0"/>
    </dxf>
    <dxf>
      <font>
        <b/>
        <i val="0"/>
        <strike val="0"/>
        <condense val="0"/>
        <extend val="0"/>
        <outline val="0"/>
        <shadow val="0"/>
        <u val="none"/>
        <vertAlign val="baseline"/>
        <sz val="10"/>
        <color auto="1"/>
        <name val="Arial"/>
        <scheme val="none"/>
      </font>
      <protection locked="1" hidden="0"/>
    </dxf>
    <dxf>
      <protection locked="1" hidden="0"/>
    </dxf>
    <dxf>
      <protection locked="1" hidden="0"/>
    </dxf>
    <dxf>
      <font>
        <b/>
        <i val="0"/>
        <strike val="0"/>
        <condense val="0"/>
        <extend val="0"/>
        <outline val="0"/>
        <shadow val="0"/>
        <u val="none"/>
        <vertAlign val="baseline"/>
        <sz val="10"/>
        <color auto="1"/>
        <name val="Arial"/>
        <scheme val="none"/>
      </font>
      <protection locked="1" hidden="0"/>
    </dxf>
    <dxf>
      <protection locked="1" hidden="0"/>
    </dxf>
    <dxf>
      <protection locked="1" hidden="0"/>
    </dxf>
    <dxf>
      <font>
        <b/>
        <i val="0"/>
        <strike val="0"/>
        <condense val="0"/>
        <extend val="0"/>
        <outline val="0"/>
        <shadow val="0"/>
        <u val="none"/>
        <vertAlign val="baseline"/>
        <sz val="10"/>
        <color auto="1"/>
        <name val="Arial"/>
        <scheme val="none"/>
      </font>
      <protection locked="1" hidden="0"/>
    </dxf>
    <dxf>
      <protection locked="1" hidden="0"/>
    </dxf>
    <dxf>
      <protection locked="1" hidden="0"/>
    </dxf>
    <dxf>
      <protection locked="1" hidden="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DDDDDD"/>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1.xml"/><Relationship Id="rId1" Type="http://schemas.openxmlformats.org/officeDocument/2006/relationships/dialogsheet" Target="dialog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worksheet" Target="worksheets/sheet4.xml"/><Relationship Id="rId10"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ialog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pageMargins left="0.75" right="0.75" top="1" bottom="1" header="0.5" footer="0.5"/>
  <pageSetup orientation="portrait" r:id="rId1"/>
  <headerFooter alignWithMargins="0"/>
  <legacyDrawing r:id="rId2"/>
</dialog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100013</xdr:colOff>
      <xdr:row>1</xdr:row>
      <xdr:rowOff>11617</xdr:rowOff>
    </xdr:from>
    <xdr:to>
      <xdr:col>9</xdr:col>
      <xdr:colOff>504826</xdr:colOff>
      <xdr:row>3</xdr:row>
      <xdr:rowOff>95250</xdr:rowOff>
    </xdr:to>
    <xdr:pic>
      <xdr:nvPicPr>
        <xdr:cNvPr id="6" name="Picture 7" descr="headeremp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38288" y="173542"/>
          <a:ext cx="4529138" cy="5789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381000</xdr:colOff>
          <xdr:row>0</xdr:row>
          <xdr:rowOff>47625</xdr:rowOff>
        </xdr:from>
        <xdr:to>
          <xdr:col>13</xdr:col>
          <xdr:colOff>581025</xdr:colOff>
          <xdr:row>1</xdr:row>
          <xdr:rowOff>190500</xdr:rowOff>
        </xdr:to>
        <xdr:sp macro="" textlink="">
          <xdr:nvSpPr>
            <xdr:cNvPr id="1121" name="Button 97" hidden="1">
              <a:extLst>
                <a:ext uri="{63B3BB69-23CF-44E3-9099-C40C66FF867C}">
                  <a14:compatExt spid="_x0000_s11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Create Recharge Upload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47625</xdr:rowOff>
        </xdr:from>
        <xdr:to>
          <xdr:col>3</xdr:col>
          <xdr:colOff>66675</xdr:colOff>
          <xdr:row>1</xdr:row>
          <xdr:rowOff>190500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Arial"/>
                  <a:cs typeface="Arial"/>
                </a:rPr>
                <a:t>Print Recharge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114300</xdr:rowOff>
        </xdr:from>
        <xdr:to>
          <xdr:col>3</xdr:col>
          <xdr:colOff>66675</xdr:colOff>
          <xdr:row>3</xdr:row>
          <xdr:rowOff>152400</xdr:rowOff>
        </xdr:to>
        <xdr:sp macro="" textlink="">
          <xdr:nvSpPr>
            <xdr:cNvPr id="1124" name="Button 100" hidden="1">
              <a:extLst>
                <a:ext uri="{63B3BB69-23CF-44E3-9099-C40C66FF867C}">
                  <a14:compatExt spid="_x0000_s1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Refresh all Chartfields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10</xdr:row>
      <xdr:rowOff>0</xdr:rowOff>
    </xdr:from>
    <xdr:to>
      <xdr:col>10</xdr:col>
      <xdr:colOff>37349</xdr:colOff>
      <xdr:row>11</xdr:row>
      <xdr:rowOff>76167</xdr:rowOff>
    </xdr:to>
    <xdr:pic>
      <xdr:nvPicPr>
        <xdr:cNvPr id="2" name="Picture 1"/>
        <xdr:cNvPicPr>
          <a:picLocks noChangeAspect="1"/>
        </xdr:cNvPicPr>
      </xdr:nvPicPr>
      <xdr:blipFill>
        <a:blip xmlns:r="http://schemas.openxmlformats.org/officeDocument/2006/relationships" r:embed="rId1"/>
        <a:stretch>
          <a:fillRect/>
        </a:stretch>
      </xdr:blipFill>
      <xdr:spPr>
        <a:xfrm>
          <a:off x="609600" y="2524125"/>
          <a:ext cx="6009524" cy="266667"/>
        </a:xfrm>
        <a:prstGeom prst="rect">
          <a:avLst/>
        </a:prstGeom>
      </xdr:spPr>
    </xdr:pic>
    <xdr:clientData/>
  </xdr:twoCellAnchor>
</xdr:wsDr>
</file>

<file path=xl/queryTables/queryTable1.xml><?xml version="1.0" encoding="utf-8"?>
<queryTable xmlns="http://schemas.openxmlformats.org/spreadsheetml/2006/main" name="GetCFData4PA2.cfm?BU=0&amp;SpeedKey=0_195" growShrinkType="overwriteClear" adjustColumnWidth="0" connectionId="83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etCFData4PA.cfm?BU=0&amp;AcctCode=0_340" growShrinkType="overwriteClear" adjustColumnWidth="0" connectionId="14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GetCFData4PA2.cfm?BU=0&amp;SpeedKey=0_403" growShrinkType="overwriteClear" adjustColumnWidth="0" connectionId="106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GetCFData4PA2.cfm?BU=0&amp;SpeedKey=0_457" growShrinkType="overwriteClear" adjustColumnWidth="0" connectionId="4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GetCFData4PA.cfm?BU=0&amp;AcctCode=0_292" growShrinkType="overwriteClear" adjustColumnWidth="0" connectionId="20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GetCFData4PA2.cfm?BU=0&amp;SpeedKey=0_395" growShrinkType="overwriteClear" adjustColumnWidth="0" connectionId="105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GetCFData4PA2.cfm?BU=0&amp;SpeedKey=0_431" growShrinkType="overwriteClear" adjustColumnWidth="0" connectionId="1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etCFData4PA2.cfm?BU=0&amp;SpeedKey=0_182" growShrinkType="overwriteClear" adjustColumnWidth="0" connectionId="81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etCFData4PA2.cfm?BU=0&amp;SpeedKey=0_129" growShrinkType="overwriteClear" adjustColumnWidth="0" connectionId="76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etCFData4PA.cfm?BU=UMWOR&amp;AcctCode=W102836_24" growShrinkType="overwriteClear" adjustColumnWidth="0" connectionId="59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GetCFData4PA.cfm?BU=0&amp;AcctCode=0_476" growShrinkType="overwriteClear" adjustColumnWidth="0" connectionId="18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GetCFData4PA.cfm?BU=0&amp;AcctCode=0_52" growShrinkType="overwriteClear" adjustColumnWidth="0" connectionId="46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GetCFData4PA.cfm?BU=0&amp;AcctCode=0_53" growShrinkType="overwriteClear" adjustColumnWidth="0" connectionId="46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etCFData4PA.cfm?BU=0&amp;AcctCode=0_343" growShrinkType="overwriteClear" adjustColumnWidth="0" connectionId="14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GetCFData4PA.cfm?BU=UMWOR&amp;AcctCode=W102836_70" growShrinkType="overwriteClear" adjustColumnWidth="0" connectionId="54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etCFData4PA2.cfm?BU=0&amp;SpeedKey=0_152" growShrinkType="overwriteClear" adjustColumnWidth="0" connectionId="78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GetCFData4PA.cfm?BU=0&amp;AcctCode=0_239" growShrinkType="overwriteClear" adjustColumnWidth="0" connectionId="25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etCFData4PA2.cfm?BU=0&amp;SpeedKey=0_213" growShrinkType="overwriteClear" adjustColumnWidth="0" connectionId="85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GetCFData4PA.cfm?BU=0&amp;AcctCode=0_425" growShrinkType="overwriteClear" adjustColumnWidth="0" connectionId="75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GetCFData4PA2.cfm?BU=0&amp;SpeedKey=0_227" growShrinkType="overwriteClear" adjustColumnWidth="0" connectionId="86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GetCFData4PA.cfm?BU=0&amp;AcctCode=0_276" growShrinkType="overwriteClear" adjustColumnWidth="0" connectionId="21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GetCFData4PA.cfm?BU=0&amp;AcctCode=0_266" growShrinkType="overwriteClear" adjustColumnWidth="0" connectionId="22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GetCFData4PA.cfm?BU=0&amp;AcctCode=0_262" growShrinkType="overwriteClear" adjustColumnWidth="0" connectionId="23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GetCFData4PA.cfm?BU=0&amp;AcctCode=0_201" growShrinkType="overwriteClear" adjustColumnWidth="0" connectionId="30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etCFData4PA.cfm?BU=0&amp;AcctCode=0_341" growShrinkType="overwriteClear" adjustColumnWidth="0" connectionId="1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GetCFData4PA.cfm?BU=0&amp;AcctCode=0_116" growShrinkType="overwriteClear" adjustColumnWidth="0" connectionId="39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GetCFData4PA2.cfm?BU=0&amp;SpeedKey=0_391" growShrinkType="overwriteClear" adjustColumnWidth="0" connectionId="105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GetCFData4PA.cfm?BU=UMWOR&amp;AcctCode=W102836_84" growShrinkType="overwriteClear" adjustColumnWidth="0" connectionId="52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GetCFData4PA.cfm?BU=0&amp;AcctCode=0_196" growShrinkType="overwriteClear" adjustColumnWidth="0" connectionId="30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etCFData4PA2.cfm?BU=0&amp;SpeedKey=0_380" growShrinkType="overwriteClear" adjustColumnWidth="0" connectionId="103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GetCFData4PA.cfm?BU=0&amp;AcctCode=0_109" growShrinkType="overwriteClear" adjustColumnWidth="0" connectionId="40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GetCFData4PA2.cfm?BU=0&amp;SpeedKey=0_198" growShrinkType="overwriteClear" adjustColumnWidth="0" connectionId="83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GetCFData4PA.cfm?BU=0&amp;AcctCode=0_313" growShrinkType="overwriteClear" adjustColumnWidth="0" connectionId="17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GetCFData4PA.cfm?BU=0&amp;AcctCode=0_283" growShrinkType="overwriteClear" adjustColumnWidth="0" connectionId="2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GetCFData4PA.cfm?BU=0&amp;AcctCode=0_424" growShrinkType="overwriteClear" adjustColumnWidth="0" connectionId="7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GetCFData4PA.cfm?BU=0&amp;AcctCode=0_35" growShrinkType="overwriteClear" adjustColumnWidth="0" connectionId="48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GetCFData4PA.cfm?BU=0&amp;AcctCode=0_86" growShrinkType="overwriteClear" adjustColumnWidth="0" connectionId="42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GetCFData4PA2.cfm?BU=0&amp;SpeedKey=0_416" growShrinkType="overwriteClear" adjustColumnWidth="0" connectionId="107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GetCFData4PA2.cfm?BU=0&amp;SpeedKey=0_287" growShrinkType="overwriteClear" adjustColumnWidth="0" connectionId="93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GetCFData4PA.cfm?BU=0&amp;AcctCode=0_357" growShrinkType="overwriteClear" adjustColumnWidth="0" connectionId="1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GetCFData4PA.cfm?BU=0&amp;AcctCode=0_135" growShrinkType="overwriteClear" adjustColumnWidth="0" connectionId="37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etCFData4PA2.cfm?BU=0&amp;SpeedKey=0_139" growShrinkType="overwriteClear" adjustColumnWidth="0" connectionId="77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GetCFData4PA.cfm?BU=0&amp;AcctCode=0_323" growShrinkType="overwriteClear" adjustColumnWidth="0" connectionId="16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GetCFData4PA2.cfm?BU=0&amp;SpeedKey=0_419" growShrinkType="overwriteClear" adjustColumnWidth="0" connectionId="108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GetCFData4PA.cfm?BU=0&amp;AcctCode=0_419" growShrinkType="overwriteClear" adjustColumnWidth="0" connectionId="81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GetCFData4PA.cfm?BU=0&amp;AcctCode=0_326" growShrinkType="overwriteClear" adjustColumnWidth="0" connectionId="16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GetCFData4PA.cfm?BU=0&amp;AcctCode=0_98" growShrinkType="overwriteClear" adjustColumnWidth="0" connectionId="4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GetCFData4PA2.cfm?BU=0&amp;SpeedKey=0_32" growShrinkType="overwriteClear" adjustColumnWidth="0" connectionId="65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etCFData4PA2.cfm?BU=0&amp;SpeedKey=0_483" growShrinkType="overwriteClear" adjustColumnWidth="0" connectionId="7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etCFData4PA2.cfm?BU=0&amp;SpeedKey=0_383" growShrinkType="overwriteClear" adjustColumnWidth="0" connectionId="104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GetCFData4PA.cfm?BU=UMWOR&amp;AcctCode=W102836_34" growShrinkType="overwriteClear" adjustColumnWidth="0" connectionId="58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GetCFData4PA2.cfm?BU=0&amp;SpeedKey=0_452" growShrinkType="overwriteClear" adjustColumnWidth="0" connectionId="3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GetCFData4PA2.cfm?BU=0&amp;SpeedKey=0_208" growShrinkType="overwriteClear" adjustColumnWidth="0" connectionId="84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GetCFData4PA.cfm?BU=0&amp;AcctCode=0_44" growShrinkType="overwriteClear" adjustColumnWidth="0" connectionId="47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GetCFData4PA2.cfm?BU=0&amp;SpeedKey=0_166" growShrinkType="overwriteClear" adjustColumnWidth="0" connectionId="80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GetCFData4PA2.cfm?BU=0&amp;SpeedKey=0_365" growShrinkType="overwriteClear" adjustColumnWidth="0" connectionId="10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GetCFData4PA.cfm?BU=0&amp;AcctCode=0_411" growShrinkType="overwriteClear" adjustColumnWidth="0" connectionId="90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GetCFData4PA2.cfm?BU=0&amp;SpeedKey=0_75" growShrinkType="overwriteClear" adjustColumnWidth="0" connectionId="7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GetCFData4PA.cfm?BU=0&amp;AcctCode=0_318" growShrinkType="overwriteClear" adjustColumnWidth="0" connectionId="17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GetCFData4PA.cfm?BU=0&amp;AcctCode=0_366" growShrinkType="overwriteClear" adjustColumnWidth="0" connectionId="11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GetCFData4PA.cfm?BU=0&amp;AcctCode=0_385" growShrinkType="overwriteClear" adjustColumnWidth="0" connectionId="9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GetCFData4PA2.cfm?BU=0&amp;SpeedKey=0_322" growShrinkType="overwriteClear" adjustColumnWidth="0" connectionId="97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GetCFData4PA.cfm?BU=0&amp;AcctCode=0_148" growShrinkType="overwriteClear" adjustColumnWidth="0" connectionId="36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GetCFData4PA.cfm?BU=0&amp;AcctCode=0_77" growShrinkType="overwriteClear" adjustColumnWidth="0" connectionId="43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etCFData4PA2.cfm?BU=0&amp;SpeedKey=0_118" growShrinkType="overwriteClear" adjustColumnWidth="0" connectionId="74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GetCFData4PA.cfm?BU=0&amp;AcctCode=0_61" growShrinkType="overwriteClear" adjustColumnWidth="0" connectionId="45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GetCFData4PA2.cfm?BU=0&amp;SpeedKey=0_305" growShrinkType="overwriteClear" adjustColumnWidth="0" connectionId="95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GetCFData4PA2.cfm?BU=0&amp;SpeedKey=0_366" growShrinkType="overwriteClear" adjustColumnWidth="0" connectionId="102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GetCFData4PA.cfm?BU=0&amp;AcctCode=0_395" growShrinkType="overwriteClear" adjustColumnWidth="0" connectionId="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GetCFData4PA2.cfm?BU=0&amp;SpeedKey=0_42" growShrinkType="overwriteClear" adjustColumnWidth="0" connectionId="66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GetCFData4PA.cfm?BU=0&amp;AcctCode=0_439" growShrinkType="overwriteClear" adjustColumnWidth="0" connectionId="59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GetCFData4PA.cfm?BU=0&amp;AcctCode=0_458" growShrinkType="overwriteClear" adjustColumnWidth="0" connectionId="38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GetCFData4PA.cfm?BU=0&amp;AcctCode=0_393" growShrinkType="overwriteClear" adjustColumnWidth="0" connectionId="2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GetCFData4PA2.cfm?BU=0&amp;SpeedKey=0_503" growShrinkType="overwriteClear" adjustColumnWidth="0" connectionId="9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etCFData4PA.cfm?BU=0&amp;AcctCode=0_418" growShrinkType="overwriteClear" adjustColumnWidth="0" connectionId="82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etCFData4PA.cfm?BU=0&amp;AcctCode=0_146" growShrinkType="overwriteClear" adjustColumnWidth="0" connectionId="36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GetCFData4PA.cfm?BU=0&amp;AcctCode=0_391" growShrinkType="overwriteClear" adjustColumnWidth="0" connectionId="4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etCFData4PA.cfm?BU=UMWOR&amp;AcctCode=W102836_6" growShrinkType="overwriteClear" adjustColumnWidth="0" connectionId="61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GetCFData4PA.cfm?BU=0&amp;AcctCode=0_457" growShrinkType="overwriteClear" adjustColumnWidth="0" connectionId="39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GetCFData4PA.cfm?BU=0&amp;AcctCode=0_245" growShrinkType="overwriteClear" adjustColumnWidth="0" connectionId="25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GetCFData4PA2.cfm?BU=0&amp;SpeedKey=0_15" growShrinkType="overwriteClear" adjustColumnWidth="0" connectionId="63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GetCFData4PA.cfm?BU=0&amp;AcctCode=0_15" growShrinkType="overwriteClear" adjustColumnWidth="0" connectionId="50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GetCFData4PA2.cfm?BU=0&amp;SpeedKey=0_494" growShrinkType="overwriteClear" adjustColumnWidth="0" connectionId="8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GetCFData4PA.cfm?BU=UMWOR&amp;AcctCode=W102836_62" growShrinkType="overwriteClear" adjustColumnWidth="0" connectionId="55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GetCFData4PA.cfm?BU=0&amp;AcctCode=0_243" growShrinkType="overwriteClear" adjustColumnWidth="0" connectionId="25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GetCFData4PA.cfm?BU=0&amp;AcctCode=0_222" growShrinkType="overwriteClear" adjustColumnWidth="0" connectionId="27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GetCFData4PA.cfm?BU=0&amp;AcctCode=0_104" growShrinkType="overwriteClear" adjustColumnWidth="0" connectionId="40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GetCFData4PA.cfm?BU=UMWOR&amp;AcctCode=W102836_65" growShrinkType="overwriteClear" adjustColumnWidth="0" connectionId="54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GetCFData4PA.cfm?BU=0&amp;AcctCode=0_479" growShrinkType="overwriteClear" adjustColumnWidth="0" connectionId="15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GetCFData4PA.cfm?BU=0&amp;AcctCode=0_143" growShrinkType="overwriteClear" adjustColumnWidth="0" connectionId="36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GetCFData4PA.cfm?BU=0&amp;AcctCode=0_97" growShrinkType="overwriteClear" adjustColumnWidth="0" connectionId="41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GetCFData4PA.cfm?BU=0&amp;AcctCode=0_317" growShrinkType="overwriteClear" adjustColumnWidth="0" connectionId="17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GetCFData4PA.cfm?BU=0&amp;AcctCode=0_84" growShrinkType="overwriteClear" adjustColumnWidth="0" connectionId="43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etCFData4PA.cfm?BU=0&amp;AcctCode=0_427" growShrinkType="overwriteClear" adjustColumnWidth="0" connectionId="72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GetCFData4PA.cfm?BU=0&amp;AcctCode=0_315" growShrinkType="overwriteClear" adjustColumnWidth="0" connectionId="17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GetCFData4PA2.cfm?BU=0&amp;SpeedKey=0_206" growShrinkType="overwriteClear" adjustColumnWidth="0" connectionId="84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GetCFData4PA2.cfm?BU=0&amp;SpeedKey=0_61" growShrinkType="overwriteClear" adjustColumnWidth="0" connectionId="68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GetCFData4PA2.cfm?BU=0&amp;SpeedKey=0_119" growShrinkType="overwriteClear" adjustColumnWidth="0" connectionId="74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GetCFData4PA.cfm?BU=0&amp;AcctCode=0_41" growShrinkType="overwriteClear" adjustColumnWidth="0" connectionId="47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GetCFData4PA2.cfm?BU=0&amp;SpeedKey=0_470" growShrinkType="overwriteClear" adjustColumnWidth="0" connectionId="5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GetCFData4PA.cfm?BU=0&amp;AcctCode=0_450" growShrinkType="overwriteClear" adjustColumnWidth="0" connectionId="47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GetCFData4PA2.cfm?BU=0&amp;SpeedKey=0_437" growShrinkType="overwriteClear" adjustColumnWidth="0" connectionId="2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GetCFData4PA2.cfm?BU=0&amp;SpeedKey=0_172" growShrinkType="overwriteClear" adjustColumnWidth="0" connectionId="80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GetCFData4PA2.cfm?BU=0&amp;SpeedKey=0_197" growShrinkType="overwriteClear" adjustColumnWidth="0" connectionId="83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etCFData4PA.cfm?BU=0&amp;AcctCode=0_76" growShrinkType="overwriteClear" adjustColumnWidth="0" connectionId="44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GetCFData4PA.cfm?BU=UMWOR&amp;AcctCode=W102836_69" growShrinkType="overwriteClear" adjustColumnWidth="0" connectionId="54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GetCFData4PA.cfm?BU=0&amp;AcctCode=0_352" growShrinkType="overwriteClear" adjustColumnWidth="0" connectionId="13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GetCFData4PA2.cfm?BU=0&amp;SpeedKey=0_231" growShrinkType="overwriteClear" adjustColumnWidth="0" connectionId="87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GetCFData4PA2.cfm?BU=0&amp;SpeedKey=0_418" growShrinkType="overwriteClear" adjustColumnWidth="0" connectionId="108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GetCFData4PA2.cfm?BU=0&amp;SpeedKey=0_345" growShrinkType="overwriteClear" adjustColumnWidth="0" connectionId="1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GetCFData4PA2.cfm?BU=0&amp;SpeedKey=0_165" growShrinkType="overwriteClear" adjustColumnWidth="0" connectionId="8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GetCFData4PA.cfm?BU=0&amp;AcctCode=0_445" growShrinkType="overwriteClear" adjustColumnWidth="0" connectionId="53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GetCFData4PA.cfm?BU=0&amp;AcctCode=0_10" growShrinkType="overwriteClear" adjustColumnWidth="0" connectionId="51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GetCFData4PA2.cfm?BU=0&amp;SpeedKey=0_260" growShrinkType="overwriteClear" adjustColumnWidth="0" connectionId="90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etCFData4PA.cfm?BU=0&amp;AcctCode=0_128" growShrinkType="overwriteClear" adjustColumnWidth="0" connectionId="38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GetCFData4PA.cfm?BU=UMWOR&amp;AcctCode=W102836_54" growShrinkType="overwriteClear" adjustColumnWidth="0" connectionId="55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GetCFData4PA2.cfm?BU=0&amp;SpeedKey=0_277" growShrinkType="overwriteClear" adjustColumnWidth="0" connectionId="92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GetCFData4PA2.cfm?BU=0&amp;SpeedKey=0_203" growShrinkType="overwriteClear" adjustColumnWidth="0" connectionId="84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GetCFData4PA.cfm?BU=0&amp;AcctCode=0_219" growShrinkType="overwriteClear" adjustColumnWidth="0" connectionId="28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GetCFData4PA2.cfm?BU=0&amp;SpeedKey=0_499" growShrinkType="overwriteClear" adjustColumnWidth="0" connectionId="8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GetCFData4PA.cfm?BU=0&amp;AcctCode=0_302" growShrinkType="overwriteClear" adjustColumnWidth="0" connectionId="18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GetCFData4PA2.cfm?BU=0&amp;SpeedKey=0_279" growShrinkType="overwriteClear" adjustColumnWidth="0" connectionId="92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GetCFData4PA2.cfm?BU=0&amp;SpeedKey=0_393" growShrinkType="overwriteClear" adjustColumnWidth="0" connectionId="105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GetCFData4PA2.cfm?BU=0&amp;SpeedKey=0_180" growShrinkType="overwriteClear" adjustColumnWidth="0" connectionId="81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GetCFData4PA.cfm?BU=0&amp;AcctCode=0_253" growShrinkType="overwriteClear" adjustColumnWidth="0" connectionId="24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etCFData4PA.cfm?BU=0&amp;AcctCode=0_134" growShrinkType="overwriteClear" adjustColumnWidth="0" connectionId="37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GetCFData4PA2.cfm?BU=0&amp;SpeedKey=0_410" growShrinkType="overwriteClear" adjustColumnWidth="0" connectionId="107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GetCFData4PA.cfm?BU=0&amp;AcctCode=0_306" growShrinkType="overwriteClear" adjustColumnWidth="0" connectionId="18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GetCFData4PA.cfm?BU=UMWOR&amp;AcctCode=W102836_56" growShrinkType="overwriteClear" adjustColumnWidth="0" connectionId="55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GetCFData4PA2.cfm?BU=0&amp;SpeedKey=0_12" growShrinkType="overwriteClear" adjustColumnWidth="0" connectionId="63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GetCFData4PA.cfm?BU=0&amp;AcctCode=0_74" growShrinkType="overwriteClear" adjustColumnWidth="0" connectionId="44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GetCFData4PA2.cfm?BU=0&amp;SpeedKey=0_477" growShrinkType="overwriteClear" adjustColumnWidth="0" connectionId="6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GetCFData4PA2.cfm?BU=0&amp;SpeedKey=0_300" growShrinkType="overwriteClear" adjustColumnWidth="0" connectionId="94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GetCFData4PA2.cfm?BU=0&amp;SpeedKey=0_88" growShrinkType="overwriteClear" adjustColumnWidth="0" connectionId="71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GetCFData4PA.cfm?BU=0&amp;AcctCode=0_473" growShrinkType="overwriteClear" adjustColumnWidth="0" connectionId="21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GetCFData4PA2.cfm?BU=0&amp;SpeedKey=0_358" growShrinkType="overwriteClear" adjustColumnWidth="0" connectionId="101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GetCFData4PA2.cfm?BU=0&amp;SpeedKey=0_417" growShrinkType="overwriteClear" adjustColumnWidth="0" connectionId="107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GetCFData4PA2.cfm?BU=0&amp;SpeedKey=0_148" growShrinkType="overwriteClear" adjustColumnWidth="0" connectionId="78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GetCFData4PA2.cfm?BU=0&amp;SpeedKey=0_176" growShrinkType="overwriteClear" adjustColumnWidth="0" connectionId="81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GetCFData4PA2.cfm?BU=0&amp;SpeedKey=0_66" growShrinkType="overwriteClear" adjustColumnWidth="0" connectionId="69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GetCFData4PA2.cfm?BU=0&amp;SpeedKey=0_184" growShrinkType="overwriteClear" adjustColumnWidth="0" connectionId="82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GetCFData4PA2.cfm?BU=0&amp;SpeedKey=0_29" growShrinkType="overwriteClear" adjustColumnWidth="0" connectionId="64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GetCFData4PA.cfm?BU=0&amp;AcctCode=0_204" growShrinkType="overwriteClear" adjustColumnWidth="0" connectionId="29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GetCFData4PA.cfm?BU=UMWOR&amp;AcctCode=W123456" growShrinkType="overwriteClear" adjustColumnWidth="0" connectionId="62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GetCFData4PA.cfm?BU=0&amp;AcctCode=0_51" growShrinkType="overwriteClear" adjustColumnWidth="0" connectionId="46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GetCFData4PA2.cfm?BU=0&amp;SpeedKey=0_41" growShrinkType="overwriteClear" adjustColumnWidth="0" connectionId="66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GetCFData4PA.cfm?BU=0&amp;AcctCode=0_307" growShrinkType="overwriteClear" adjustColumnWidth="0" connectionId="18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GetCFData4PA2.cfm?BU=0&amp;SpeedKey=0_384" growShrinkType="overwriteClear" adjustColumnWidth="0" connectionId="104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GetCFData4PA2.cfm?BU=0&amp;SpeedKey=0_25" growShrinkType="overwriteClear" adjustColumnWidth="0" connectionId="64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GetCFData4PA2.cfm?BU=0&amp;SpeedKey=0_321" growShrinkType="overwriteClear" adjustColumnWidth="0" connectionId="97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GetCFData4PA.cfm?BU=0&amp;AcctCode=0_32" growShrinkType="overwriteClear" adjustColumnWidth="0" connectionId="48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GetCFData4PA.cfm?BU=0&amp;AcctCode=0_187" growShrinkType="overwriteClear" adjustColumnWidth="0" connectionId="31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GetCFData4PA.cfm?BU=0&amp;AcctCode=0_156" growShrinkType="overwriteClear" adjustColumnWidth="0" connectionId="35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GetCFData4PA.cfm?BU=0&amp;AcctCode=0_240" growShrinkType="overwriteClear" adjustColumnWidth="0" connectionId="25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GetCFData4PA2.cfm?BU=0&amp;SpeedKey=0_335" growShrinkType="overwriteClear" adjustColumnWidth="0" connectionId="98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GetCFData4PA.cfm?BU=0&amp;AcctCode=0_363" growShrinkType="overwriteClear" adjustColumnWidth="0" connectionId="12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GetCFData4PA2.cfm?BU=0&amp;SpeedKey=0_17" growShrinkType="overwriteClear" adjustColumnWidth="0" connectionId="63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GetCFData4PA.cfm?BU=0&amp;AcctCode=0_382" growShrinkType="overwriteClear" adjustColumnWidth="0" connectionId="10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GetCFData4PA2.cfm?BU=0&amp;SpeedKey=0_462" growShrinkType="overwriteClear" adjustColumnWidth="0" connectionId="4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GetCFData4PA.cfm?BU=0&amp;AcctCode=0_23" growShrinkType="overwriteClear" adjustColumnWidth="0" connectionId="49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GetCFData4PA2.cfm?BU=0&amp;SpeedKey=0_155" growShrinkType="overwriteClear" adjustColumnWidth="0" connectionId="78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GetCFData4PA2.cfm?BU=0&amp;SpeedKey=0_450" growShrinkType="overwriteClear" adjustColumnWidth="0" connectionId="3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etCFData4PA.cfm?BU=UMWOR&amp;AcctCode=W102836_13" growShrinkType="overwriteClear" adjustColumnWidth="0" connectionId="60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GetCFData4PA2.cfm?BU=0&amp;SpeedKey=0_97" growShrinkType="overwriteClear" adjustColumnWidth="0" connectionId="72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GetCFData4PA.cfm?BU=UMWOR&amp;AcctCode=W102836_30" growShrinkType="overwriteClear" adjustColumnWidth="0" connectionId="58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GetCFData4PA.cfm?BU=0&amp;AcctCode=0_69" growShrinkType="overwriteClear" adjustColumnWidth="0" connectionId="44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GetCFData4PA2.cfm?BU=0&amp;SpeedKey=0_273" growShrinkType="overwriteClear" adjustColumnWidth="0" connectionId="92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GetCFData4PA.cfm?BU=UMWOR&amp;AcctCode=W102836_3" growShrinkType="overwriteClear" adjustColumnWidth="0" connectionId="61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etCFData4PA.cfm?BU=0&amp;AcctCode=0_330" growShrinkType="overwriteClear" adjustColumnWidth="0" connectionId="15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GetCFData4PA.cfm?BU=0&amp;AcctCode=0_449" growShrinkType="overwriteClear" adjustColumnWidth="0" connectionId="48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GetCFData4PA.cfm?BU=UMWOR&amp;AcctCode=W102836_64" growShrinkType="overwriteClear" adjustColumnWidth="0" connectionId="54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GetCFData4PA.cfm?BU=0&amp;AcctCode=0_297" growShrinkType="overwriteClear" adjustColumnWidth="0" connectionId="19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etCFData4PA2.cfm?BU=0&amp;SpeedKey=0_407" growShrinkType="overwriteClear" adjustColumnWidth="0" connectionId="106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GetCFData4PA.cfm?BU=0&amp;AcctCode=0_182" growShrinkType="overwriteClear" adjustColumnWidth="0" connectionId="32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GetCFData4PA.cfm?BU=0&amp;AcctCode=0_464" growShrinkType="overwriteClear" adjustColumnWidth="0" connectionId="31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GetCFData4PA2.cfm?BU=0&amp;SpeedKey=0_18" growShrinkType="overwriteClear" adjustColumnWidth="0" connectionId="63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etCFData4PA.cfm?BU=0&amp;AcctCode=0_203" growShrinkType="overwriteClear" adjustColumnWidth="0" connectionId="29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GetCFData4PA2.cfm?BU=0&amp;SpeedKey=0_190" growShrinkType="overwriteClear" adjustColumnWidth="0" connectionId="82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GetCFData4PA.cfm?BU=0&amp;AcctCode=0_367" growShrinkType="overwriteClear" adjustColumnWidth="0" connectionId="11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etCFData4PA.cfm?BU=0&amp;AcctCode=0_280" growShrinkType="overwriteClear" adjustColumnWidth="0" connectionId="21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GetCFData4PA.cfm?BU=0&amp;AcctCode=0_161" growShrinkType="overwriteClear" adjustColumnWidth="0" connectionId="34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GetCFData4PA.cfm?BU=0&amp;AcctCode=0_477" growShrinkType="overwriteClear" adjustColumnWidth="0" connectionId="17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GetCFData4PA.cfm?BU=0&amp;AcctCode=0_355" growShrinkType="overwriteClear" adjustColumnWidth="0" connectionId="13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GetCFData4PA2.cfm?BU=0&amp;SpeedKey=0_346" growShrinkType="overwriteClear" adjustColumnWidth="0" connectionId="100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GetCFData4PA2.cfm?BU=0&amp;SpeedKey=0_411" growShrinkType="overwriteClear" adjustColumnWidth="0" connectionId="107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GetCFData4PA.cfm?BU=0&amp;AcctCode=0_20" growShrinkType="overwriteClear" adjustColumnWidth="0" connectionId="50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GetCFData4PA.cfm?BU=0&amp;AcctCode=0_488" growShrinkType="overwriteClear" adjustColumnWidth="0" connectionId="75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GetCFData4PA2.cfm?BU=0&amp;SpeedKey=0_141" growShrinkType="overwriteClear" adjustColumnWidth="0" connectionId="77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GetCFData4PA2.cfm?BU=0&amp;SpeedKey=0_169" growShrinkType="overwriteClear" adjustColumnWidth="0" connectionId="80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GetCFData4PA.cfm?BU=0&amp;AcctCode=0_92" growShrinkType="overwriteClear" adjustColumnWidth="0" connectionId="42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GetCFData4PA.cfm?BU=0&amp;AcctCode=0_188" growShrinkType="overwriteClear" adjustColumnWidth="0" connectionId="31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etCFData4PA2.cfm?BU=0&amp;SpeedKey=0_353" growShrinkType="overwriteClear" adjustColumnWidth="0" connectionId="100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GetCFData4PA.cfm?BU=UMWOR&amp;AcctCode=W102836_47" growShrinkType="overwriteClear" adjustColumnWidth="0" connectionId="56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etCFData4PA2.cfm?BU=0&amp;SpeedKey=0_210" growShrinkType="overwriteClear" adjustColumnWidth="0" connectionId="84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GetCFData4PA2.cfm?BU=0&amp;SpeedKey=0_432" growShrinkType="overwriteClear" adjustColumnWidth="0" connectionId="1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GetCFData4PA.cfm?BU=0&amp;AcctCode=0_282" growShrinkType="overwriteClear" adjustColumnWidth="0" connectionId="21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GetCFData4PA.cfm?BU=UMWOR&amp;AcctCode=W102836_72" growShrinkType="overwriteClear" adjustColumnWidth="0" connectionId="53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GetCFData4PA2.cfm?BU=0&amp;SpeedKey=0_48" growShrinkType="overwriteClear" adjustColumnWidth="0" connectionId="67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GetCFData4PA.cfm?BU=0&amp;AcctCode=0_71" growShrinkType="overwriteClear" adjustColumnWidth="0" connectionId="44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etCFData4PA.cfm?BU=0&amp;AcctCode=0_131" growShrinkType="overwriteClear" adjustColumnWidth="0" connectionId="37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GetCFData4PA2.cfm?BU=0&amp;SpeedKey=0_478" growShrinkType="overwriteClear" adjustColumnWidth="0" connectionId="6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GetCFData4PA.cfm?BU=0&amp;AcctCode=0_217" growShrinkType="overwriteClear" adjustColumnWidth="0" connectionId="28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GetCFData4PA2.cfm?BU=0&amp;SpeedKey=0_68" growShrinkType="overwriteClear" adjustColumnWidth="0" connectionId="69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GetCFData4PA.cfm?BU=0&amp;AcctCode=0_28" growShrinkType="overwriteClear" adjustColumnWidth="0" connectionId="49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GetCFData4PA2.cfm?BU=0&amp;SpeedKey=0_249" growShrinkType="overwriteClear" adjustColumnWidth="0" connectionId="89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GetCFData4PA2.cfm?BU=0&amp;SpeedKey=0_221" growShrinkType="overwriteClear" adjustColumnWidth="0" connectionId="86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GetCFData4PA.cfm?BU=0&amp;AcctCode=0_117" growShrinkType="overwriteClear" adjustColumnWidth="0" connectionId="39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GetCFData4PA2.cfm?BU=0&amp;SpeedKey=0_134" growShrinkType="overwriteClear" adjustColumnWidth="0" connectionId="76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GetCFData4PA2.cfm?BU=0&amp;SpeedKey=0_14" growShrinkType="overwriteClear" adjustColumnWidth="0" connectionId="63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GetCFData4PA2.cfm?BU=0&amp;SpeedKey=0_356" growShrinkType="overwriteClear" adjustColumnWidth="0" connectionId="101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GetCFData4PA.cfm?BU=UMWOR&amp;AcctCode=W102836_7" growShrinkType="overwriteClear" adjustColumnWidth="0" connectionId="61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GetCFData4PA2.cfm?BU=0&amp;SpeedKey=0_253" growShrinkType="overwriteClear" adjustColumnWidth="0" connectionId="89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GetCFData4PA2.cfm?BU=0&amp;SpeedKey=0_327" growShrinkType="overwriteClear" adjustColumnWidth="0" connectionId="98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GetCFData4PA2.cfm?BU=0&amp;SpeedKey=0_159" growShrinkType="overwriteClear" adjustColumnWidth="0" connectionId="79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GetCFData4PA.cfm?BU=0&amp;AcctCode=0_88" growShrinkType="overwriteClear" adjustColumnWidth="0" connectionId="42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GetCFData4PA2.cfm?BU=0&amp;SpeedKey=0_436" growShrinkType="overwriteClear" adjustColumnWidth="0" connectionId="2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GetCFData4PA2.cfm?BU=0&amp;SpeedKey=0_267" growShrinkType="overwriteClear" adjustColumnWidth="0" connectionId="91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GetCFData4PA.cfm?BU=0&amp;AcctCode=0_390" growShrinkType="overwriteClear" adjustColumnWidth="0" connectionId="5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GetCFData4PA2.cfm?BU=0&amp;SpeedKey=0_142" growShrinkType="overwriteClear" adjustColumnWidth="0" connectionId="77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GetCFData4PA.cfm?BU=0&amp;AcctCode=0_233" growShrinkType="overwriteClear" adjustColumnWidth="0" connectionId="26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GetCFData4PA.cfm?BU=0&amp;AcctCode=0_257" growShrinkType="overwriteClear" adjustColumnWidth="0" connectionId="23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GetCFData4PA.cfm?BU=0&amp;AcctCode=0_64" growShrinkType="overwriteClear" adjustColumnWidth="0" connectionId="45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GetCFData4PA2.cfm?BU=0&amp;SpeedKey=0_314" growShrinkType="overwriteClear" adjustColumnWidth="0" connectionId="96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GetCFData4PA2.cfm?BU=0&amp;SpeedKey=0_225" growShrinkType="overwriteClear" adjustColumnWidth="0" connectionId="86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GetCFData4PA2.cfm?BU=0&amp;SpeedKey=0_250" growShrinkType="overwriteClear" adjustColumnWidth="0" connectionId="89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GetCFData4PA2.cfm?BU=0&amp;SpeedKey=0_349" growShrinkType="overwriteClear" adjustColumnWidth="0" connectionId="100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GetCFData4PA.cfm?BU=0&amp;AcctCode=0_208" growShrinkType="overwriteClear" adjustColumnWidth="0" connectionId="29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GetCFData4PA2.cfm?BU=0&amp;SpeedKey=0_105" growShrinkType="overwriteClear" adjustColumnWidth="0" connectionId="73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GetCFData4PA.cfm?BU=0&amp;AcctCode=0_212" growShrinkType="overwriteClear" adjustColumnWidth="0" connectionId="28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GetCFData4PA2.cfm?BU=0&amp;SpeedKey=0_234" growShrinkType="overwriteClear" adjustColumnWidth="0" connectionId="87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GetCFData4PA2.cfm?BU=0&amp;SpeedKey=0_242" growShrinkType="overwriteClear" adjustColumnWidth="0" connectionId="88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GetCFData4PA2.cfm?BU=0&amp;SpeedKey=0_344" growShrinkType="overwriteClear" adjustColumnWidth="0" connectionId="99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GetCFData4PA2.cfm?BU=0&amp;SpeedKey=0_463" growShrinkType="overwriteClear" adjustColumnWidth="0" connectionId="5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GetCFData4PA.cfm?BU=0&amp;AcctCode=0_225" growShrinkType="overwriteClear" adjustColumnWidth="0" connectionId="27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GetCFData4PA.cfm?BU=0&amp;AcctCode=0_5" growShrinkType="overwriteClear" adjustColumnWidth="0" connectionId="51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GetCFData4PA.cfm?BU=0&amp;AcctCode=0_16" growShrinkType="overwriteClear" adjustColumnWidth="0" connectionId="50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GetCFData4PA.cfm?BU=0&amp;AcctCode=0_1" growShrinkType="overwriteClear" adjustColumnWidth="0" connectionId="52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GetCFData4PA2.cfm?BU=0&amp;SpeedKey=0_488" growShrinkType="overwriteClear" adjustColumnWidth="0" connectionId="7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GetCFData4PA2.cfm?BU=0&amp;SpeedKey=0_293" growShrinkType="overwriteClear" adjustColumnWidth="0" connectionId="94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etCFData4PA2.cfm?BU=0&amp;SpeedKey=0_122" growShrinkType="overwriteClear" adjustColumnWidth="0" connectionId="75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etCFData4PA.cfm?BU=0&amp;AcctCode=0_349" growShrinkType="overwriteClear" adjustColumnWidth="0" connectionId="13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GetCFData4PA2.cfm?BU=0&amp;SpeedKey=0_309" growShrinkType="overwriteClear" adjustColumnWidth="0" connectionId="95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GetCFData4PA.cfm?BU=0&amp;AcctCode=0_271" growShrinkType="overwriteClear" adjustColumnWidth="0" connectionId="22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GetCFData4PA2.cfm?BU=0&amp;SpeedKey=0_313" growShrinkType="overwriteClear" adjustColumnWidth="0" connectionId="96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GetCFData4PA.cfm?BU=0&amp;AcctCode=0_322" growShrinkType="overwriteClear" adjustColumnWidth="0" connectionId="16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GetCFData4PA.cfm?BU=0&amp;AcctCode=0_8" growShrinkType="overwriteClear" adjustColumnWidth="0" connectionId="51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GetCFData4PA2.cfm?BU=0&amp;SpeedKey=0_504" growShrinkType="overwriteClear" adjustColumnWidth="0" connectionId="9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GetCFData4PA2.cfm?BU=0&amp;SpeedKey=0_394" growShrinkType="overwriteClear" adjustColumnWidth="0" connectionId="105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GetCFData4PA2.cfm?BU=0&amp;SpeedKey=0_211" growShrinkType="overwriteClear" adjustColumnWidth="0" connectionId="85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GetCFData4PA2.cfm?BU=0&amp;SpeedKey=0_262" growShrinkType="overwriteClear" adjustColumnWidth="0" connectionId="90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GetCFData4PA.cfm?BU=0&amp;AcctCode=0_261" growShrinkType="overwriteClear" adjustColumnWidth="0" connectionId="23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GetCFData4PA2.cfm?BU=0&amp;SpeedKey=0_317" growShrinkType="overwriteClear" adjustColumnWidth="0" connectionId="96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GetCFData4PA2.cfm?BU=0&amp;SpeedKey=0_111" growShrinkType="overwriteClear" adjustColumnWidth="0" connectionId="73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etCFData4PA.cfm?BU=0&amp;AcctCode=0_447" growShrinkType="overwriteClear" adjustColumnWidth="0" connectionId="50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GetCFData4PA.cfm?BU=0&amp;AcctCode=0_136" growShrinkType="overwriteClear" adjustColumnWidth="0" connectionId="37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GetCFData4PA.cfm?BU=0&amp;AcctCode=0_175" growShrinkType="overwriteClear" adjustColumnWidth="0" connectionId="33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GetCFData4PA.cfm?BU=0&amp;AcctCode=0_142" growShrinkType="overwriteClear" adjustColumnWidth="0" connectionId="36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GetCFData4PA.cfm?BU=0&amp;AcctCode=0_345" growShrinkType="overwriteClear" adjustColumnWidth="0" connectionId="14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GetCFData4PA2.cfm?BU=0&amp;SpeedKey=0_239" growShrinkType="overwriteClear" adjustColumnWidth="0" connectionId="88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GetCFData4PA.cfm?BU=0&amp;AcctCode=0_277" growShrinkType="overwriteClear" adjustColumnWidth="0" connectionId="21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GetCFData4PA.cfm?BU=UMWOR&amp;AcctCode=W102836_42" growShrinkType="overwriteClear" adjustColumnWidth="0" connectionId="57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GetCFData4PA.cfm?BU=0&amp;AcctCode=0_49" growShrinkType="overwriteClear" adjustColumnWidth="0" connectionId="47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GetCFData4PA.cfm?BU=0&amp;AcctCode=0_60" growShrinkType="overwriteClear" adjustColumnWidth="0" connectionId="45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GetCFData4PA2.cfm?BU=0&amp;SpeedKey=0_324" growShrinkType="overwriteClear" adjustColumnWidth="0" connectionId="97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etCFData4PA.cfm?BU=0&amp;AcctCode=0_260" growShrinkType="overwriteClear" adjustColumnWidth="0" connectionId="23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GetCFData4PA2.cfm?BU=0&amp;SpeedKey=0_258" growShrinkType="overwriteClear" adjustColumnWidth="0" connectionId="90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GetCFData4PA2.cfm?BU=0&amp;SpeedKey=0_272" growShrinkType="overwriteClear" adjustColumnWidth="0" connectionId="91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GetCFData4PA.cfm?BU=0&amp;AcctCode=0_386" growShrinkType="overwriteClear" adjustColumnWidth="0" connectionId="9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GetCFData4PA.cfm?BU=UMWOR&amp;AcctCode=W102836_12" growShrinkType="overwriteClear" adjustColumnWidth="0" connectionId="60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GetCFData4PA.cfm?BU=0&amp;AcctCode=0_228" growShrinkType="overwriteClear" adjustColumnWidth="0" connectionId="27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GetCFData4PA.cfm?BU=0&amp;AcctCode=0_68" growShrinkType="overwriteClear" adjustColumnWidth="0" connectionId="44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GetCFData4PA2.cfm?BU=0&amp;SpeedKey=0_351" growShrinkType="overwriteClear" adjustColumnWidth="0" connectionId="100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GetCFData4PA2.cfm?BU=0&amp;SpeedKey=0_283" growShrinkType="overwriteClear" adjustColumnWidth="0" connectionId="93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etCFData4PA2.cfm?BU=0&amp;SpeedKey=0_50" growShrinkType="overwriteClear" adjustColumnWidth="0" connectionId="67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GetCFData4PA.cfm?BU=0&amp;AcctCode=0_137" growShrinkType="overwriteClear" adjustColumnWidth="0" connectionId="37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GetCFData4PA.cfm?BU=0&amp;AcctCode=0_421" growShrinkType="overwriteClear" adjustColumnWidth="0" connectionId="79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GetCFData4PA.cfm?BU=0&amp;AcctCode=0_311" growShrinkType="overwriteClear" adjustColumnWidth="0" connectionId="17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etCFData4PA2.cfm?BU=0&amp;SpeedKey=0_164" growShrinkType="overwriteClear" adjustColumnWidth="0" connectionId="79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GetCFData4PA.cfm?BU=0&amp;AcctCode=0_416" growShrinkType="overwriteClear" adjustColumnWidth="0" connectionId="85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GetCFData4PA2.cfm?BU=0&amp;SpeedKey=0_270" growShrinkType="overwriteClear" adjustColumnWidth="0" connectionId="91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GetCFData4PA2.cfm?BU=0&amp;SpeedKey=0_282" growShrinkType="overwriteClear" adjustColumnWidth="0" connectionId="93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GetCFData4PA2.cfm?BU=0&amp;SpeedKey=0_19" growShrinkType="overwriteClear" adjustColumnWidth="0" connectionId="63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etCFData4PA.cfm?BU=0&amp;AcctCode=0_14" growShrinkType="overwriteClear" adjustColumnWidth="0" connectionId="50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GetCFData4PA2.cfm?BU=0&amp;SpeedKey=0_40" growShrinkType="overwriteClear" adjustColumnWidth="0" connectionId="66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GetCFData4PA2.cfm?BU=0&amp;SpeedKey=0_448" growShrinkType="overwriteClear" adjustColumnWidth="0" connectionId="3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etCFData4PA2.cfm?BU=0&amp;SpeedKey=0_464" growShrinkType="overwriteClear" adjustColumnWidth="0" connectionId="5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GetCFData4PA2.cfm?BU=0&amp;SpeedKey=0_286" growShrinkType="overwriteClear" adjustColumnWidth="0" connectionId="93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GetCFData4PA.cfm?BU=UMWOR&amp;AcctCode=W102836_35" growShrinkType="overwriteClear" adjustColumnWidth="0" connectionId="58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GetCFData4PA2.cfm?BU=0&amp;SpeedKey=0_20" growShrinkType="overwriteClear" adjustColumnWidth="0" connectionId="63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GetCFData4PA2.cfm?BU=0&amp;SpeedKey=0_439" growShrinkType="overwriteClear" adjustColumnWidth="0" connectionId="2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GetCFData4PA.cfm?BU=0&amp;AcctCode=0_490" growShrinkType="overwriteClear" adjustColumnWidth="0" connectionId="52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GetCFData4PA.cfm?BU=0&amp;AcctCode=0_122" growShrinkType="overwriteClear" adjustColumnWidth="0" connectionId="38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GetCFData4PA.cfm?BU=0&amp;AcctCode=0_155" growShrinkType="overwriteClear" adjustColumnWidth="0" connectionId="35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GetCFData4PA2.cfm?BU=0&amp;SpeedKey=0_443" growShrinkType="overwriteClear" adjustColumnWidth="0" connectionId="2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GetCFData4PA.cfm?BU=0&amp;AcctCode=0_258" growShrinkType="overwriteClear" adjustColumnWidth="0" connectionId="23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GetCFData4PA.cfm?BU=0&amp;AcctCode=0_256" growShrinkType="overwriteClear" adjustColumnWidth="0" connectionId="24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GetCFData4PA2.cfm?BU=0&amp;SpeedKey=0_44" growShrinkType="overwriteClear" adjustColumnWidth="0" connectionId="66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GetCFData4PA2.cfm?BU=0&amp;SpeedKey=0_28" growShrinkType="overwriteClear" adjustColumnWidth="0" connectionId="64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GetCFData4PA.cfm?BU=0&amp;AcctCode=0_4" growShrinkType="overwriteClear" adjustColumnWidth="0" connectionId="52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GetCFData4PA.cfm?BU=0&amp;AcctCode=0_169" growShrinkType="overwriteClear" adjustColumnWidth="0" connectionId="33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GetCFData4PA2.cfm?BU=0&amp;SpeedKey=0_310" growShrinkType="overwriteClear" adjustColumnWidth="0" connectionId="96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GetCFData4PA.cfm?BU=0&amp;AcctCode=0_251" growShrinkType="overwriteClear" adjustColumnWidth="0" connectionId="24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GetCFData4PA.cfm?BU=0&amp;AcctCode=0_26" growShrinkType="overwriteClear" adjustColumnWidth="0" connectionId="49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GetCFData4PA2.cfm?BU=0&amp;SpeedKey=0_230" growShrinkType="overwriteClear" adjustColumnWidth="0" connectionId="87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etCFData4PA.cfm?BU=0&amp;AcctCode=0_481" growShrinkType="overwriteClear" adjustColumnWidth="0" connectionId="13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GetCFData4PA2.cfm?BU=0&amp;SpeedKey=0_212" growShrinkType="overwriteClear" adjustColumnWidth="0" connectionId="85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GetCFData4PA.cfm?BU=0&amp;AcctCode=0_167" growShrinkType="overwriteClear" adjustColumnWidth="0" connectionId="33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GetCFData4PA.cfm?BU=0&amp;AcctCode=0_110" growShrinkType="overwriteClear" adjustColumnWidth="0" connectionId="40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GetCFData4PA2.cfm?BU=0&amp;SpeedKey=0_377" growShrinkType="overwriteClear" adjustColumnWidth="0" connectionId="103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GetCFData4PA2.cfm?BU=0&amp;SpeedKey=0_178" growShrinkType="overwriteClear" adjustColumnWidth="0" connectionId="81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GetCFData4PA2.cfm?BU=0&amp;SpeedKey=0_445" growShrinkType="overwriteClear" adjustColumnWidth="0" connectionId="3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GetCFData4PA.cfm?BU=0&amp;AcctCode=0_247" growShrinkType="overwriteClear" adjustColumnWidth="0" connectionId="25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GetCFData4PA.cfm?BU=0&amp;AcctCode=0_468" growShrinkType="overwriteClear" adjustColumnWidth="0" connectionId="27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GetCFData4PA.cfm?BU=0&amp;AcctCode=0_55" growShrinkType="overwriteClear" adjustColumnWidth="0" connectionId="46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GetCFData4PA2.cfm?BU=0&amp;SpeedKey=0_238" growShrinkType="overwriteClear" adjustColumnWidth="0" connectionId="88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GetCFData4PA2.cfm?BU=0&amp;SpeedKey=0_390" growShrinkType="overwriteClear" adjustColumnWidth="0" connectionId="104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etCFData4PA2.cfm?BU=0&amp;SpeedKey=0_95" growShrinkType="overwriteClear" adjustColumnWidth="0" connectionId="72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GetCFData4PA2.cfm?BU=0&amp;SpeedKey=0_264" growShrinkType="overwriteClear" adjustColumnWidth="0" connectionId="91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GetCFData4PA2.cfm?BU=0&amp;SpeedKey=0_23" growShrinkType="overwriteClear" adjustColumnWidth="0" connectionId="64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GetCFData4PA2.cfm?BU=0&amp;SpeedKey=0_72" growShrinkType="overwriteClear" adjustColumnWidth="0" connectionId="69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GetCFData4PA.cfm?BU=0&amp;AcctCode=0_59" growShrinkType="overwriteClear" adjustColumnWidth="0" connectionId="45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GetCFData4PA.cfm?BU=0&amp;AcctCode=0_465" growShrinkType="overwriteClear" adjustColumnWidth="0" connectionId="30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GetCFData4PA2.cfm?BU=0&amp;SpeedKey=0_385" growShrinkType="overwriteClear" adjustColumnWidth="0" connectionId="104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GetCFData4PA.cfm?BU=0&amp;AcctCode=0_178" growShrinkType="overwriteClear" adjustColumnWidth="0" connectionId="32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GetCFData4PA.cfm?BU=UMWOR&amp;AcctCode=W102836_36" growShrinkType="overwriteClear" adjustColumnWidth="0" connectionId="57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GetCFData4PA2.cfm?BU=0&amp;SpeedKey=0_458" growShrinkType="overwriteClear" adjustColumnWidth="0" connectionId="4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GetCFData4PA.cfm?BU=0&amp;AcctCode=0_305" growShrinkType="overwriteClear" adjustColumnWidth="0" connectionId="18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GetCFData4PA.cfm?BU=0&amp;AcctCode=0_140" growShrinkType="overwriteClear" adjustColumnWidth="0" connectionId="36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GetCFData4PA2.cfm?BU=0&amp;SpeedKey=0_136" growShrinkType="overwriteClear" adjustColumnWidth="0" connectionId="76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etCFData4PA.cfm?BU=0&amp;AcctCode=0_471" growShrinkType="overwriteClear" adjustColumnWidth="0" connectionId="24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GetCFData4PA.cfm?BU=0&amp;AcctCode=0_229" growShrinkType="overwriteClear" adjustColumnWidth="0" connectionId="27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GetCFData4PA.cfm?BU=0&amp;AcctCode=0_469" growShrinkType="overwriteClear" adjustColumnWidth="0" connectionId="26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etCFData4PA2.cfm?BU=0&amp;SpeedKey=0_296" growShrinkType="overwriteClear" adjustColumnWidth="0" connectionId="94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GetCFData4PA.cfm?BU=0&amp;AcctCode=0_199" growShrinkType="overwriteClear" adjustColumnWidth="0" connectionId="30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GetCFData4PA.cfm?BU=0&amp;AcctCode=0_200" growShrinkType="overwriteClear" adjustColumnWidth="0" connectionId="30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GetCFData4PA2.cfm?BU=0&amp;SpeedKey=0_415" growShrinkType="overwriteClear" adjustColumnWidth="0" connectionId="107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GetCFData4PA2.cfm?BU=0&amp;SpeedKey=0_371" growShrinkType="overwriteClear" adjustColumnWidth="0" connectionId="102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GetCFData4PA.cfm?BU=0&amp;AcctCode=0_129" growShrinkType="overwriteClear" adjustColumnWidth="0" connectionId="38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GetCFData4PA.cfm?BU=0&amp;AcctCode=0_370" growShrinkType="overwriteClear" adjustColumnWidth="0" connectionId="11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GetCFData4PA2.cfm?BU=0&amp;SpeedKey=0_400" growShrinkType="overwriteClear" adjustColumnWidth="0" connectionId="106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etCFData4PA2.cfm?BU=0&amp;SpeedKey=0_399" growShrinkType="overwriteClear" adjustColumnWidth="0" connectionId="105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GetCFData4PA.cfm?BU=0&amp;AcctCode=0_462" growShrinkType="overwriteClear" adjustColumnWidth="0" connectionId="34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GetCFData4PA.cfm?BU=0&amp;AcctCode=0_236" growShrinkType="overwriteClear" adjustColumnWidth="0" connectionId="26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GetCFData4PA2.cfm?BU=0&amp;SpeedKey=0_37" growShrinkType="overwriteClear" adjustColumnWidth="0" connectionId="65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GetCFData4PA.cfm?BU=0&amp;AcctCode=0_67" growShrinkType="overwriteClear" adjustColumnWidth="0" connectionId="45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GetCFData4PA2.cfm?BU=0&amp;SpeedKey=0_485" growShrinkType="overwriteClear" adjustColumnWidth="0" connectionId="7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GetCFData4PA.cfm?BU=0&amp;AcctCode=0_409" growShrinkType="overwriteClear" adjustColumnWidth="0" connectionId="92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GetCFData4PA2.cfm?BU=0&amp;SpeedKey=0_484" growShrinkType="overwriteClear" adjustColumnWidth="0" connectionId="7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GetCFData4PA.cfm?BU=0&amp;AcctCode=0_19" growShrinkType="overwriteClear" adjustColumnWidth="0" connectionId="50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etCFData4PA2.cfm?BU=0&amp;SpeedKey=0_479" growShrinkType="overwriteClear" adjustColumnWidth="0" connectionId="6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GetCFData4PA2.cfm?BU=0&amp;SpeedKey=0_453" growShrinkType="overwriteClear" adjustColumnWidth="0" connectionId="3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GetCFData4PA2.cfm?BU=0&amp;SpeedKey=0_389" growShrinkType="overwriteClear" adjustColumnWidth="0" connectionId="104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GetCFData4PA2.cfm?BU=0&amp;SpeedKey=0_381" growShrinkType="overwriteClear" adjustColumnWidth="0" connectionId="103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GetCFData4PA2.cfm?BU=0&amp;SpeedKey=0_299" growShrinkType="overwriteClear" adjustColumnWidth="0" connectionId="94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GetCFData4PA2.cfm?BU=0&amp;SpeedKey=0_376" growShrinkType="overwriteClear" adjustColumnWidth="0" connectionId="103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GetCFData4PA2.cfm?BU=0&amp;SpeedKey=0_311" growShrinkType="overwriteClear" adjustColumnWidth="0" connectionId="96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GetCFData4PA.cfm?BU=0&amp;AcctCode=0_207" growShrinkType="overwriteClear" adjustColumnWidth="0" connectionId="29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GetCFData4PA.cfm?BU=0&amp;AcctCode=0_37" growShrinkType="overwriteClear" adjustColumnWidth="0" connectionId="48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etCFData4PA2.cfm?BU=0&amp;SpeedKey=0_354" growShrinkType="overwriteClear" adjustColumnWidth="0" connectionId="101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GetCFData4PA.cfm?BU=UMWOR&amp;AcctCode=W112767_1" growShrinkType="overwriteClear" adjustColumnWidth="0" connectionId="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GetCFData4PA2.cfm?BU=0&amp;SpeedKey=0_343" growShrinkType="overwriteClear" adjustColumnWidth="0" connectionId="99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GetCFData4PA2.cfm?BU=0&amp;SpeedKey=0_162" growShrinkType="overwriteClear" adjustColumnWidth="0" connectionId="79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GetCFData4PA.cfm?BU=UMWOR&amp;AcctCode=W102836_31" growShrinkType="overwriteClear" adjustColumnWidth="0" connectionId="58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GetCFData4PA.cfm?BU=0&amp;AcctCode=0_2" growShrinkType="overwriteClear" adjustColumnWidth="0" connectionId="52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GetCFData4PA2.cfm?BU=0&amp;SpeedKey=0_331" growShrinkType="overwriteClear" adjustColumnWidth="0" connectionId="98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GetCFData4PA2.cfm?BU=0&amp;SpeedKey=0_30" growShrinkType="overwriteClear" adjustColumnWidth="0" connectionId="65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GetCFData4PA2.cfm?BU=0&amp;SpeedKey=0_315" growShrinkType="overwriteClear" adjustColumnWidth="0" connectionId="96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GetCFData4PA2.cfm?BU=0&amp;SpeedKey=0_144" growShrinkType="overwriteClear" adjustColumnWidth="0" connectionId="77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GetCFData4PA.cfm?BU=UMWOR&amp;AcctCode=W102836" growShrinkType="overwriteClear" adjustColumnWidth="0" connectionId="61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etCFData4PA.cfm?BU=0&amp;AcctCode=0_337" growShrinkType="overwriteClear" adjustColumnWidth="0" connectionId="15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GetCFData4PA2.cfm?BU=0&amp;SpeedKey=0_423" growShrinkType="overwriteClear" adjustColumnWidth="0" connectionId="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GetCFData4PA2.cfm?BU=0&amp;SpeedKey=0_245" growShrinkType="overwriteClear" adjustColumnWidth="0" connectionId="88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GetCFData4PA2.cfm?BU=0&amp;SpeedKey=0_67" growShrinkType="overwriteClear" adjustColumnWidth="0" connectionId="69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GetCFData4PA2.cfm?BU=0&amp;SpeedKey=0_492" growShrinkType="overwriteClear" adjustColumnWidth="0" connectionId="8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GetCFData4PA.cfm?BU=0&amp;AcctCode=0_480" growShrinkType="overwriteClear" adjustColumnWidth="0" connectionId="14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GetCFData4PA2.cfm?BU=0&amp;SpeedKey=0_56" growShrinkType="overwriteClear" adjustColumnWidth="0" connectionId="67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GetCFData4PA.cfm?BU=0&amp;AcctCode=0_387" growShrinkType="overwriteClear" adjustColumnWidth="0" connectionId="9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etCFData4PA2.cfm?BU=0&amp;SpeedKey=0_446" growShrinkType="overwriteClear" adjustColumnWidth="0" connectionId="3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GetCFData4PA.cfm?BU=0&amp;AcctCode=0_147" growShrinkType="overwriteClear" adjustColumnWidth="0" connectionId="36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GetCFData4PA2.cfm?BU=0&amp;SpeedKey=0_459" growShrinkType="overwriteClear" adjustColumnWidth="0" connectionId="4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GetCFData4PA2.cfm?BU=0&amp;SpeedKey=0_202" growShrinkType="overwriteClear" adjustColumnWidth="0" connectionId="84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GetCFData4PA2.cfm?BU=0&amp;SpeedKey=0_486" growShrinkType="overwriteClear" adjustColumnWidth="0" connectionId="7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GetCFData4PA2.cfm?BU=0&amp;SpeedKey=0_355" growShrinkType="overwriteClear" adjustColumnWidth="0" connectionId="101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GetCFData4PA2.cfm?BU=0&amp;SpeedKey=0_318" growShrinkType="overwriteClear" adjustColumnWidth="0" connectionId="96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GetCFData4PA.cfm?BU=0&amp;AcctCode=0_108" growShrinkType="overwriteClear" adjustColumnWidth="0" connectionId="40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GetCFData4PA2.cfm?BU=0&amp;SpeedKey=0_135" growShrinkType="overwriteClear" adjustColumnWidth="0" connectionId="76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GetCFData4PA.cfm?BU=0&amp;AcctCode=0_325" growShrinkType="overwriteClear" adjustColumnWidth="0" connectionId="16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etCFData4PA.cfm?BU=0&amp;AcctCode=0_139" growShrinkType="overwriteClear" adjustColumnWidth="0" connectionId="37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GetCFData4PA.cfm?BU=0&amp;AcctCode=0_232" growShrinkType="overwriteClear" adjustColumnWidth="0" connectionId="26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GetCFData4PA2.cfm?BU=0&amp;SpeedKey=0_396" growShrinkType="overwriteClear" adjustColumnWidth="0" connectionId="105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GetCFData4PA.cfm?BU=0&amp;AcctCode=0_331" growShrinkType="overwriteClear" adjustColumnWidth="0" connectionId="15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GetCFData4PA.cfm?BU=UMWOR&amp;AcctCode=W102836_46" growShrinkType="overwriteClear" adjustColumnWidth="0" connectionId="56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GetCFData4PA2.cfm?BU=0&amp;SpeedKey=0_474" growShrinkType="overwriteClear" adjustColumnWidth="0" connectionId="6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GetCFData4PA2.cfm?BU=0&amp;SpeedKey=0_62" growShrinkType="overwriteClear" adjustColumnWidth="0" connectionId="68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GetCFData4PA2.cfm?BU=0&amp;SpeedKey=0_392" growShrinkType="overwriteClear" adjustColumnWidth="0" connectionId="105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GetCFData4PA2.cfm?BU=0&amp;SpeedKey=0_275" growShrinkType="overwriteClear" adjustColumnWidth="0" connectionId="92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GetCFData4PA.cfm?BU=0&amp;AcctCode=0_405" growShrinkType="overwriteClear" adjustColumnWidth="0" connectionId="97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GetCFData4PA.cfm?BU=UMWOR&amp;AcctCode=W102836_1" growShrinkType="overwriteClear" adjustColumnWidth="0" connectionId="61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GetCFData4PA.cfm?BU=0&amp;AcctCode=0_328" growShrinkType="overwriteClear" adjustColumnWidth="0" connectionId="16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GetCFData4PA2.cfm?BU=0&amp;SpeedKey=0_39" growShrinkType="overwriteClear" adjustColumnWidth="0" connectionId="66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GetCFData4PA2.cfm?BU=0&amp;SpeedKey=0_326" growShrinkType="overwriteClear" adjustColumnWidth="0" connectionId="97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GetCFData4PA2.cfm?BU=0&amp;SpeedKey=0_338" growShrinkType="overwriteClear" adjustColumnWidth="0" connectionId="99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GetCFData4PA.cfm?BU=0&amp;AcctCode=0_63" growShrinkType="overwriteClear" adjustColumnWidth="0" connectionId="45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GetCFData4PA.cfm?BU=0&amp;AcctCode=0_406" growShrinkType="overwriteClear" adjustColumnWidth="0" connectionId="96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GetCFData4PA2.cfm?BU=0&amp;SpeedKey=0_45" growShrinkType="overwriteClear" adjustColumnWidth="0" connectionId="66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etCFData4PA.cfm?BU=0&amp;AcctCode=0_414" growShrinkType="overwriteClear" adjustColumnWidth="0" connectionId="87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GetCFData4PA.cfm?BU=0&amp;AcctCode=0_281" growShrinkType="overwriteClear" adjustColumnWidth="0" connectionId="21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GetCFData4PA2.cfm?BU=0&amp;SpeedKey=0_414" growShrinkType="overwriteClear" adjustColumnWidth="0" connectionId="107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GetCFData4PA.cfm?BU=0&amp;AcctCode=0_185" growShrinkType="overwriteClear" adjustColumnWidth="0" connectionId="32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GetCFData4PA.cfm?BU=0&amp;AcctCode=0_226" growShrinkType="overwriteClear" adjustColumnWidth="0" connectionId="27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GetCFData4PA.cfm?BU=0&amp;AcctCode=0_365" growShrinkType="overwriteClear" adjustColumnWidth="0" connectionId="12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GetCFData4PA2.cfm?BU=0&amp;SpeedKey=0_420" growShrinkType="overwriteClear" adjustColumnWidth="0" connectionId="108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GetCFData4PA2.cfm?BU=0&amp;SpeedKey=0_240" growShrinkType="overwriteClear" adjustColumnWidth="0" connectionId="88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GetCFData4PA2.cfm?BU=0&amp;SpeedKey=0_265" growShrinkType="overwriteClear" adjustColumnWidth="0" connectionId="91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GetCFData4PA.cfm?BU=0&amp;AcctCode=0_214" growShrinkType="overwriteClear" adjustColumnWidth="0" connectionId="28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GetCFData4PA.cfm?BU=0&amp;AcctCode=0_22" growShrinkType="overwriteClear" adjustColumnWidth="0" connectionId="5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GetCFData4PA.cfm?BU=0&amp;AcctCode=0_38" growShrinkType="overwriteClear" adjustColumnWidth="0" connectionId="48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GetCFData4PA.cfm?BU=0&amp;AcctCode=0_444" growShrinkType="overwriteClear" adjustColumnWidth="0" connectionId="54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GetCFData4PA.cfm?BU=0&amp;AcctCode=0_145" growShrinkType="overwriteClear" adjustColumnWidth="0" connectionId="36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etCFData4PA.cfm?BU=0&amp;AcctCode=0_123" growShrinkType="overwriteClear" adjustColumnWidth="0" connectionId="38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GetCFData4PA2.cfm?BU=0&amp;SpeedKey=0_191" growShrinkType="overwriteClear" adjustColumnWidth="0" connectionId="82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GetCFData4PA.cfm?BU=0&amp;AcctCode=0_329" growShrinkType="overwriteClear" adjustColumnWidth="0" connectionId="15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GetCFData4PA2.cfm?BU=0&amp;SpeedKey=0_257" growShrinkType="overwriteClear" adjustColumnWidth="0" connectionId="90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GetCFData4PA2.cfm?BU=0&amp;SpeedKey=0_375" growShrinkType="overwriteClear" adjustColumnWidth="0" connectionId="103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GetCFData4PA.cfm?BU=0&amp;AcctCode=0_115" growShrinkType="overwriteClear" adjustColumnWidth="0" connectionId="39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GetCFData4PA2.cfm?BU=0&amp;SpeedKey=0_228" growShrinkType="overwriteClear" adjustColumnWidth="0" connectionId="87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GetCFData4PA2.cfm?BU=0&amp;SpeedKey=0_84" growShrinkType="overwriteClear" adjustColumnWidth="0" connectionId="71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GetCFData4PA.cfm?BU=0&amp;AcctCode=0_70" growShrinkType="overwriteClear" adjustColumnWidth="0" connectionId="44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GetCFData4PA2.cfm?BU=0&amp;SpeedKey=0_347" growShrinkType="overwriteClear" adjustColumnWidth="0" connectionId="100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GetCFData4PA.cfm?BU=0&amp;AcctCode=0_460" growShrinkType="overwriteClear" adjustColumnWidth="0" connectionId="36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GetCFData4PA.cfm?BU=0&amp;AcctCode=0_125" growShrinkType="overwriteClear" adjustColumnWidth="0" connectionId="38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GetCFData4PA.cfm?BU=0&amp;AcctCode=0_157" growShrinkType="overwriteClear" adjustColumnWidth="0" connectionId="35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GetCFData4PA2.cfm?BU=0&amp;SpeedKey=0_205" growShrinkType="overwriteClear" adjustColumnWidth="0" connectionId="84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GetCFData4PA2.cfm?BU=0&amp;SpeedKey=0_90" growShrinkType="overwriteClear" adjustColumnWidth="0" connectionId="71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GetCFData4PA.cfm?BU=0&amp;AcctCode=0_413" growShrinkType="overwriteClear" adjustColumnWidth="0" connectionId="88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GetCFData4PA2.cfm?BU=0&amp;SpeedKey=0_46" growShrinkType="overwriteClear" adjustColumnWidth="0" connectionId="66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GetCFData4PA.cfm?BU=0&amp;AcctCode=0_273" growShrinkType="overwriteClear" adjustColumnWidth="0" connectionId="22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GetCFData4PA.cfm?BU=0&amp;AcctCode=0_238" growShrinkType="overwriteClear" adjustColumnWidth="0" connectionId="26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GetCFData4PA2.cfm?BU=0&amp;SpeedKey=0_107" growShrinkType="overwriteClear" adjustColumnWidth="0" connectionId="73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GetCFData4PA.cfm?BU=0&amp;AcctCode=0_194" growShrinkType="overwriteClear" adjustColumnWidth="0" connectionId="31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GetCFData4PA2.cfm?BU=0&amp;SpeedKey=0_216" growShrinkType="overwriteClear" adjustColumnWidth="0" connectionId="85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GetCFData4PA2.cfm?BU=0&amp;SpeedKey=0_177" growShrinkType="overwriteClear" adjustColumnWidth="0" connectionId="81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GetCFData4PA2.cfm?BU=0&amp;SpeedKey=0_301" growShrinkType="overwriteClear" adjustColumnWidth="0" connectionId="95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GetCFData4PA.cfm?BU=0&amp;AcctCode=0_383" growShrinkType="overwriteClear" adjustColumnWidth="0" connectionId="1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GetCFData4PA.cfm?BU=0&amp;AcctCode=0_105" growShrinkType="overwriteClear" adjustColumnWidth="0" connectionId="40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GetCFData4PA2.cfm?BU=0&amp;SpeedKey=0_481" growShrinkType="overwriteClear" adjustColumnWidth="0" connectionId="6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GetCFData4PA.cfm?BU=0&amp;AcctCode=0_274" growShrinkType="overwriteClear" adjustColumnWidth="0" connectionId="22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GetCFData4PA.cfm?BU=UMWOR&amp;AcctCode=W102836_16" growShrinkType="overwriteClear" adjustColumnWidth="0" connectionId="60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GetCFData4PA2.cfm?BU=0&amp;SpeedKey=0_430" growShrinkType="overwriteClear" adjustColumnWidth="0" connectionId="1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GetCFData4PA.cfm?BU=0&amp;AcctCode=0_33" growShrinkType="overwriteClear" adjustColumnWidth="0" connectionId="48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GetCFData4PA.cfm?BU=0&amp;AcctCode=0_230" growShrinkType="overwriteClear" adjustColumnWidth="0" connectionId="26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GetCFData4PA2.cfm?BU=0&amp;SpeedKey=0_150" growShrinkType="overwriteClear" adjustColumnWidth="0" connectionId="78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GetCFData4PA.cfm?BU=UMWOR&amp;AcctCode=W102836_37" growShrinkType="overwriteClear" adjustColumnWidth="0" connectionId="578"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GetCFData4PA.cfm?BU=0&amp;AcctCode=0_149" growShrinkType="overwriteClear" adjustColumnWidth="0" connectionId="35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GetCFData4PA.cfm?BU=0&amp;AcctCode=0_216" growShrinkType="overwriteClear" adjustColumnWidth="0" connectionId="28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GetCFData4PA.cfm?BU=UMWOR&amp;AcctCode=W102836_68" growShrinkType="overwriteClear" adjustColumnWidth="0" connectionId="54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GetCFData4PA.cfm?BU=0&amp;AcctCode=0_9" growShrinkType="overwriteClear" adjustColumnWidth="0" connectionId="51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GetCFData4PA.cfm?BU=0&amp;AcctCode=0_299" growShrinkType="overwriteClear" adjustColumnWidth="0" connectionId="19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GetCFData4PA2.cfm?BU=0&amp;SpeedKey=0_468" growShrinkType="overwriteClear" adjustColumnWidth="0" connectionId="5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GetCFData4PA.cfm?BU=0&amp;AcctCode=0_78" growShrinkType="overwriteClear" adjustColumnWidth="0" connectionId="43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GetCFData4PA2.cfm?BU=0&amp;SpeedKey=0_421" growShrinkType="overwriteClear" adjustColumnWidth="0" connectionId="108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GetCFData4PA.cfm?BU=0&amp;AcctCode=0_138" growShrinkType="overwriteClear" adjustColumnWidth="0" connectionId="37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GetCFData4PA.cfm?BU=0&amp;AcctCode=0_192" growShrinkType="overwriteClear" adjustColumnWidth="0" connectionId="31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GetCFData4PA2.cfm?BU=0&amp;SpeedKey=0_181" growShrinkType="overwriteClear" adjustColumnWidth="0" connectionId="81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GetCFData4PA2.cfm?BU=0&amp;SpeedKey=0_65" growShrinkType="overwriteClear" adjustColumnWidth="0" connectionId="68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GetCFData4PA2.cfm?BU=0&amp;SpeedKey=0_7" growShrinkType="overwriteClear" adjustColumnWidth="0" connectionId="62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GetCFData4PA.cfm?BU=0&amp;AcctCode=0_103" growShrinkType="overwriteClear" adjustColumnWidth="0" connectionId="41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GetCFData4PA.cfm?BU=UMWOR&amp;AcctCode=W102836_11" growShrinkType="overwriteClear" adjustColumnWidth="0" connectionId="60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GetCFData4PA.cfm?BU=0&amp;AcctCode=0_30" growShrinkType="overwriteClear" adjustColumnWidth="0" connectionId="49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GetCFData4PA.cfm?BU=0&amp;AcctCode=0_25" growShrinkType="overwriteClear" adjustColumnWidth="0" connectionId="49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GetCFData4PA.cfm?BU=0&amp;AcctCode=0_284" growShrinkType="overwriteClear" adjustColumnWidth="0" connectionId="21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GetCFData4PA.cfm?BU=0&amp;AcctCode=0_87" growShrinkType="overwriteClear" adjustColumnWidth="0" connectionId="42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GetCFData4PA2.cfm?BU=0&amp;SpeedKey=0_38" growShrinkType="overwriteClear" adjustColumnWidth="0" connectionId="65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GetCFData4PA2.cfm?BU=0&amp;SpeedKey=0_54" growShrinkType="overwriteClear" adjustColumnWidth="0" connectionId="67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GetCFData4PA.cfm?BU=0&amp;AcctCode=0_40" growShrinkType="overwriteClear" adjustColumnWidth="0" connectionId="48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GetCFData4PA2.cfm?BU=0&amp;SpeedKey=0_266" growShrinkType="overwriteClear" adjustColumnWidth="0" connectionId="91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GetCFData4PA2.cfm?BU=0&amp;SpeedKey=0_465" growShrinkType="overwriteClear" adjustColumnWidth="0" connectionId="5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GetCFData4PA2.cfm?BU=0&amp;SpeedKey=0_229" growShrinkType="overwriteClear" adjustColumnWidth="0" connectionId="87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GetCFData4PA2.cfm?BU=0&amp;SpeedKey=0_255" growShrinkType="overwriteClear" adjustColumnWidth="0" connectionId="9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GetCFData4PA.cfm?BU=0&amp;AcctCode=0_463" growShrinkType="overwriteClear" adjustColumnWidth="0" connectionId="33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GetCFData4PA2.cfm?BU=0&amp;SpeedKey=0_246" growShrinkType="overwriteClear" adjustColumnWidth="0" connectionId="89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GetCFData4PA2.cfm?BU=0&amp;SpeedKey=0_160" growShrinkType="overwriteClear" adjustColumnWidth="0" connectionId="79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GetCFData4PA2.cfm?BU=0&amp;SpeedKey=0_47" growShrinkType="overwriteClear" adjustColumnWidth="0" connectionId="66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GetCFData4PA2.cfm?BU=0&amp;SpeedKey=0_6" growShrinkType="overwriteClear" adjustColumnWidth="0" connectionId="62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GetCFData4PA.cfm?BU=0&amp;AcctCode=0_46" growShrinkType="overwriteClear" adjustColumnWidth="0" connectionId="47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GetCFData4PA.cfm?BU=0&amp;AcctCode=0_372" growShrinkType="overwriteClear" adjustColumnWidth="0" connectionId="11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GetCFData4PA2.cfm?BU=0&amp;SpeedKey=0_104" growShrinkType="overwriteClear" adjustColumnWidth="0" connectionId="73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GetCFData4PA2.cfm?BU=0&amp;SpeedKey=0_292" growShrinkType="overwriteClear" adjustColumnWidth="0" connectionId="94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GetCFData4PA.cfm?BU=0&amp;AcctCode=0_158" growShrinkType="overwriteClear" adjustColumnWidth="0" connectionId="34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GetCFData4PA2.cfm?BU=0&amp;SpeedKey=0_291" growShrinkType="overwriteClear" adjustColumnWidth="0" connectionId="93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GetCFData4PA.cfm?BU=UMWOR&amp;AcctCode=W102836_66" growShrinkType="overwriteClear" adjustColumnWidth="0" connectionId="54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GetCFData4PA.cfm?BU=UMWOR&amp;AcctCode=W102836_53" growShrinkType="overwriteClear" adjustColumnWidth="0" connectionId="56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GetCFData4PA2.cfm?BU=0&amp;SpeedKey=0_121" growShrinkType="overwriteClear" adjustColumnWidth="0" connectionId="75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GetCFData4PA2.cfm?BU=0&amp;SpeedKey=0_495" growShrinkType="overwriteClear" adjustColumnWidth="0" connectionId="8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GetCFData4PA.cfm?BU=0&amp;AcctCode=0_162" growShrinkType="overwriteClear" adjustColumnWidth="0" connectionId="34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GetCFData4PA.cfm?BU=UMWOR&amp;AcctCode=W102836_22" growShrinkType="overwriteClear" adjustColumnWidth="0" connectionId="59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GetCFData4PA.cfm?BU=0&amp;AcctCode=0_170" growShrinkType="overwriteClear" adjustColumnWidth="0" connectionId="33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GetCFData4PA.cfm?BU=0&amp;AcctCode=0_300" growShrinkType="overwriteClear" adjustColumnWidth="0" connectionId="19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GetCFData4PA.cfm?BU=0&amp;AcctCode=0_85" growShrinkType="overwriteClear" adjustColumnWidth="0" connectionId="43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GetCFData4PA2.cfm?BU=0&amp;SpeedKey=0_493" growShrinkType="overwriteClear" adjustColumnWidth="0" connectionId="8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GetCFData4PA2.cfm?BU=0&amp;SpeedKey=0_378" growShrinkType="overwriteClear" adjustColumnWidth="0" connectionId="103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GetCFData4PA.cfm?BU=UMWOR&amp;AcctCode=W102836_67" growShrinkType="overwriteClear" adjustColumnWidth="0" connectionId="54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GetCFData4PA.cfm?BU=0&amp;AcctCode=0_99" growShrinkType="overwriteClear" adjustColumnWidth="0" connectionId="41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GetCFData4PA2.cfm?BU=0&amp;SpeedKey=0_502" growShrinkType="overwriteClear" adjustColumnWidth="0" connectionId="9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GetCFData4PA.cfm?BU=0&amp;AcctCode=0_334" growShrinkType="overwriteClear" adjustColumnWidth="0" connectionId="15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GetCFData4PA.cfm?BU=0&amp;AcctCode=0_429" growShrinkType="overwriteClear" adjustColumnWidth="0" connectionId="70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GetCFData4PA.cfm?BU=0&amp;AcctCode=0_209" growShrinkType="overwriteClear" adjustColumnWidth="0" connectionId="29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GetCFData4PA2.cfm?BU=0&amp;SpeedKey=0_263" growShrinkType="overwriteClear" adjustColumnWidth="0" connectionId="90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GetCFData4PA.cfm?BU=0&amp;AcctCode=0_336" growShrinkType="overwriteClear" adjustColumnWidth="0" connectionId="15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GetCFData4PA.cfm?BU=0&amp;AcctCode=0_83" growShrinkType="overwriteClear" adjustColumnWidth="0" connectionId="43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GetCFData4PA2.cfm?BU=0&amp;SpeedKey=0_27" growShrinkType="overwriteClear" adjustColumnWidth="0" connectionId="64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GetCFData4PA2.cfm?BU=0&amp;SpeedKey=0_92" growShrinkType="overwriteClear" adjustColumnWidth="0" connectionId="71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GetCFData4PA2.cfm?BU=0&amp;SpeedKey=0_71" growShrinkType="overwriteClear" adjustColumnWidth="0" connectionId="69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GetCFData4PA.cfm?BU=UMWOR&amp;AcctCode=W102836_71" growShrinkType="overwriteClear" adjustColumnWidth="0" connectionId="54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GetCFData4PA.cfm?BU=0&amp;AcctCode=0_454" growShrinkType="overwriteClear" adjustColumnWidth="0" connectionId="43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GetCFData4PA.cfm?BU=0&amp;AcctCode=0_433" growShrinkType="overwriteClear" adjustColumnWidth="0" connectionId="66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GetCFData4PA2.cfm?BU=0&amp;SpeedKey=0_363" growShrinkType="overwriteClear" adjustColumnWidth="0" connectionId="102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GetCFData4PA2.cfm?BU=0&amp;SpeedKey=0_10" growShrinkType="overwriteClear" adjustColumnWidth="0" connectionId="62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GetCFData4PA.cfm?BU=0&amp;AcctCode=0_482" growShrinkType="overwriteClear" adjustColumnWidth="0" connectionId="11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GetCFData4PA2.cfm?BU=0&amp;SpeedKey=0_402" growShrinkType="overwriteClear" adjustColumnWidth="0" connectionId="106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GetCFData4PA2.cfm?BU=0&amp;SpeedKey=0_441" growShrinkType="overwriteClear" adjustColumnWidth="0" connectionId="2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GetCFData4PA2.cfm?BU=0&amp;SpeedKey=0_364" growShrinkType="overwriteClear" adjustColumnWidth="0" connectionId="102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GetCFData4PA2.cfm?BU=0&amp;SpeedKey=0_340" growShrinkType="overwriteClear" adjustColumnWidth="0" connectionId="99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GetCFData4PA2.cfm?BU=0&amp;SpeedKey=0_362" growShrinkType="overwriteClear" adjustColumnWidth="0" connectionId="101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GetCFData4PA.cfm?BU=0&amp;AcctCode=0_164" growShrinkType="overwriteClear" adjustColumnWidth="0" connectionId="34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GetCFData4PA.cfm?BU=0&amp;AcctCode=0_487" growShrinkType="overwriteClear" adjustColumnWidth="0" connectionId="86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GetCFData4PA.cfm?BU=UMWOR&amp;AcctCode=W102836_21" growShrinkType="overwriteClear" adjustColumnWidth="0" connectionId="595"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GetCFData4PA.cfm?BU=0&amp;AcctCode=0_119" growShrinkType="overwriteClear" adjustColumnWidth="0" connectionId="39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GetCFData4PA.cfm?BU=0&amp;AcctCode=0_397" growShrinkType="overwriteClear" adjustColumnWidth="0" connectionId="106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GetCFData4PA2.cfm?BU=0&amp;SpeedKey=0_471" growShrinkType="overwriteClear" adjustColumnWidth="0" connectionId="5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GetCFData4PA.cfm?BU=UMWOR&amp;AcctCode=W102836_61" growShrinkType="overwriteClear" adjustColumnWidth="0" connectionId="55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GetCFData4PA.cfm?BU=0&amp;AcctCode=0_456" growShrinkType="overwriteClear" adjustColumnWidth="0" connectionId="40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GetCFData4PA2.cfm?BU=0&amp;SpeedKey=0_307" growShrinkType="overwriteClear" adjustColumnWidth="0" connectionId="95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GetCFData4PA.cfm?BU=0&amp;AcctCode=0_309" growShrinkType="overwriteClear" adjustColumnWidth="0" connectionId="18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GetCFData4PA.cfm?BU=0&amp;AcctCode=0_95" growShrinkType="overwriteClear" adjustColumnWidth="0" connectionId="42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GetCFData4PA2.cfm?BU=0&amp;SpeedKey=0_222" growShrinkType="overwriteClear" adjustColumnWidth="0" connectionId="86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GetCFData4PA.cfm?BU=0&amp;AcctCode=0_459" growShrinkType="overwriteClear" adjustColumnWidth="0" connectionId="37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GetCFData4PA2.cfm?BU=0&amp;SpeedKey=0_243" growShrinkType="overwriteClear" adjustColumnWidth="0" connectionId="88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GetCFData4PA.cfm?BU=0&amp;AcctCode=0_106" growShrinkType="overwriteClear" adjustColumnWidth="0" connectionId="40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GetCFData4PA.cfm?BU=UMWOR&amp;AcctCode=W102836_50" growShrinkType="overwriteClear" adjustColumnWidth="0" connectionId="56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GetCFData4PA2.cfm?BU=0&amp;SpeedKey=0_428" growShrinkType="overwriteClear" adjustColumnWidth="0" connectionId="1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GetCFData4PA.cfm?BU=0&amp;AcctCode=0_12" growShrinkType="overwriteClear" adjustColumnWidth="0" connectionId="51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GetCFData4PA.cfm?BU=UMWOR&amp;AcctCode=W102836_9" growShrinkType="overwriteClear" adjustColumnWidth="0" connectionId="60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GetCFData4PA.cfm?BU=0&amp;AcctCode=0_347" growShrinkType="overwriteClear" adjustColumnWidth="0" connectionId="13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GetCFData4PA.cfm?BU=0&amp;AcctCode=0_160" growShrinkType="overwriteClear" adjustColumnWidth="0" connectionId="34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GetCFData4PA2.cfm?BU=0&amp;SpeedKey=0_146" growShrinkType="overwriteClear" adjustColumnWidth="0" connectionId="77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GetCFData4PA.cfm?BU=UMWOR&amp;AcctCode=W102836_18" growShrinkType="overwriteClear" adjustColumnWidth="0" connectionId="59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GetCFData4PA2.cfm?BU=0&amp;SpeedKey=0_199" growShrinkType="overwriteClear" adjustColumnWidth="0" connectionId="83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GetCFData4PA.cfm?BU=0&amp;AcctCode=0_301" growShrinkType="overwriteClear" adjustColumnWidth="0" connectionId="19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GetCFData4PA2.cfm?BU=0&amp;SpeedKey=0_405" growShrinkType="overwriteClear" adjustColumnWidth="0" connectionId="106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GetCFData4PA2.cfm?BU=0&amp;SpeedKey=0_473" growShrinkType="overwriteClear" adjustColumnWidth="0" connectionId="6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GetCFData4PA2.cfm?BU=0&amp;SpeedKey=0_85" growShrinkType="overwriteClear" adjustColumnWidth="0" connectionId="71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GetCFData4PA.cfm?BU=0&amp;AcctCode=0_466" growShrinkType="overwriteClear" adjustColumnWidth="0" connectionId="29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GetCFData4PA2.cfm?BU=0&amp;SpeedKey=0_369" growShrinkType="overwriteClear" adjustColumnWidth="0" connectionId="102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GetCFData4PA.cfm?BU=UMWOR&amp;AcctCode=W102836_77" growShrinkType="overwriteClear" adjustColumnWidth="0" connectionId="53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GetCFData4PA.cfm?BU=UMWOR&amp;AcctCode=W102836_10" growShrinkType="overwriteClear" adjustColumnWidth="0" connectionId="60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GetCFData4PA2.cfm?BU=0&amp;SpeedKey=0_233" growShrinkType="overwriteClear" adjustColumnWidth="0" connectionId="87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GetCFData4PA2.cfm?BU=0&amp;SpeedKey=0_451" growShrinkType="overwriteClear" adjustColumnWidth="0" connectionId="3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GetCFData4PA.cfm?BU=0&amp;AcctCode=0_296" growShrinkType="overwriteClear" adjustColumnWidth="0" connectionId="19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GetCFData4PA2.cfm?BU=0&amp;SpeedKey=0_100" growShrinkType="overwriteClear" adjustColumnWidth="0" connectionId="72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GetCFData4PA2.cfm?BU=0&amp;SpeedKey=0_254" growShrinkType="overwriteClear" adjustColumnWidth="0" connectionId="89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GetCFData4PA2.cfm?BU=0&amp;SpeedKey=0_179" growShrinkType="overwriteClear" adjustColumnWidth="0" connectionId="81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GetCFData4PA.cfm?BU=0&amp;AcctCode=0_168" growShrinkType="overwriteClear" adjustColumnWidth="0" connectionId="33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GetCFData4PA2.cfm?BU=0&amp;SpeedKey=0_163" growShrinkType="overwriteClear" adjustColumnWidth="0" connectionId="79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GetCFData4PA2.cfm?BU=0&amp;SpeedKey=0_269" growShrinkType="overwriteClear" adjustColumnWidth="0" connectionId="91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GetCFData4PA2.cfm?BU=0&amp;SpeedKey=0_217" growShrinkType="overwriteClear" adjustColumnWidth="0" connectionId="85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GetCFData4PA.cfm?BU=0&amp;AcctCode=0_176" growShrinkType="overwriteClear" adjustColumnWidth="0" connectionId="32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GetCFData4PA.cfm?BU=0&amp;AcctCode=0_102" growShrinkType="overwriteClear" adjustColumnWidth="0" connectionId="41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GetCFData4PA.cfm?BU=0&amp;AcctCode=0_290" growShrinkType="overwriteClear" adjustColumnWidth="0" connectionId="20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GetCFData4PA.cfm?BU=0&amp;AcctCode=0_24" growShrinkType="overwriteClear" adjustColumnWidth="0" connectionId="49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GetCFData4PA2.cfm?BU=0&amp;SpeedKey=0_342" growShrinkType="overwriteClear" adjustColumnWidth="0" connectionId="99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GetCFData4PA2.cfm?BU=0&amp;SpeedKey=0_70" growShrinkType="overwriteClear" adjustColumnWidth="0" connectionId="69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GetCFData4PA2.cfm?BU=0&amp;SpeedKey=0_427" growShrinkType="overwriteClear" adjustColumnWidth="0" connectionId="1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GetCFData4PA.cfm?BU=0&amp;AcctCode=0_417" growShrinkType="overwriteClear" adjustColumnWidth="0" connectionId="84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GetCFData4PA.cfm?BU=0&amp;AcctCode=0_179" growShrinkType="overwriteClear" adjustColumnWidth="0" connectionId="32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GetCFData4PA2.cfm?BU=0&amp;SpeedKey=0_131" growShrinkType="overwriteClear" adjustColumnWidth="0" connectionId="76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GetCFData4PA2.cfm?BU=0&amp;SpeedKey=0_455" growShrinkType="overwriteClear" adjustColumnWidth="0" connectionId="4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GetCFData4PA2.cfm?BU=0&amp;SpeedKey=0_219" growShrinkType="overwriteClear" adjustColumnWidth="0" connectionId="85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GetCFData4PA.cfm?BU=0&amp;AcctCode=0" growShrinkType="overwriteClear" adjustColumnWidth="0" connectionId="52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GetCFData4PA.cfm?BU=0&amp;AcctCode=0_407" growShrinkType="overwriteClear" adjustColumnWidth="0" connectionId="95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GetCFData4PA.cfm?BU=0&amp;AcctCode=0_430" growShrinkType="overwriteClear" adjustColumnWidth="0" connectionId="69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GetCFData4PA2.cfm?BU=0&amp;SpeedKey=0_401" growShrinkType="overwriteClear" adjustColumnWidth="0" connectionId="106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GetCFData4PA.cfm?BU=0&amp;AcctCode=0_400" growShrinkType="overwriteClear" adjustColumnWidth="0" connectionId="102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GetCFData4PA2.cfm?BU=0&amp;SpeedKey=0_16" growShrinkType="overwriteClear" adjustColumnWidth="0" connectionId="63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GetCFData4PA2.cfm?BU=0&amp;SpeedKey=0_183" growShrinkType="overwriteClear" adjustColumnWidth="0" connectionId="82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GetCFData4PA2.cfm?BU=0&amp;SpeedKey=0_171" growShrinkType="overwriteClear" adjustColumnWidth="0" connectionId="80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GetCFData4PA.cfm?BU=0&amp;AcctCode=0_263" growShrinkType="overwriteClear" adjustColumnWidth="0" connectionId="23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GetCFData4PA.cfm?BU=0&amp;AcctCode=0_166" growShrinkType="overwriteClear" adjustColumnWidth="0" connectionId="34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GetCFData4PA.cfm?BU=0&amp;AcctCode=0_3" growShrinkType="overwriteClear" adjustColumnWidth="0" connectionId="52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GetCFData4PA.cfm?BU=0&amp;AcctCode=0_184" growShrinkType="overwriteClear" adjustColumnWidth="0" connectionId="32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GetCFData4PA2.cfm?BU=0&amp;SpeedKey=0_89" growShrinkType="overwriteClear" adjustColumnWidth="0" connectionId="71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GetCFData4PA2.cfm?BU=0&amp;SpeedKey=0_145" growShrinkType="overwriteClear" adjustColumnWidth="0" connectionId="77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GetCFData4PA.cfm?BU=0&amp;AcctCode=0_235" growShrinkType="overwriteClear" adjustColumnWidth="0" connectionId="26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GetCFData4PA2.cfm?BU=0&amp;SpeedKey=0_143" growShrinkType="overwriteClear" adjustColumnWidth="0" connectionId="77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GetCFData4PA.cfm?BU=0&amp;AcctCode=0_180" growShrinkType="overwriteClear" adjustColumnWidth="0" connectionId="32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GetCFData4PA.cfm?BU=0&amp;AcctCode=0_434" growShrinkType="overwriteClear" adjustColumnWidth="0" connectionId="65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GetCFData4PA.cfm?BU=0&amp;AcctCode=0_177" growShrinkType="overwriteClear" adjustColumnWidth="0" connectionId="32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GetCFData4PA2.cfm?BU=0&amp;SpeedKey=0_278" growShrinkType="overwriteClear" adjustColumnWidth="0" connectionId="92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GetCFData4PA.cfm?BU=UMWOR&amp;AcctCode=W102836_19" growShrinkType="overwriteClear" adjustColumnWidth="0" connectionId="59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GetCFData4PA2.cfm?BU=0&amp;SpeedKey=0_78" growShrinkType="overwriteClear" adjustColumnWidth="0" connectionId="70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GetCFData4PA.cfm?BU=0&amp;AcctCode=0_288" growShrinkType="overwriteClear" adjustColumnWidth="0" connectionId="20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GetCFData4PA.cfm?BU=0&amp;AcctCode=0_152" growShrinkType="overwriteClear" adjustColumnWidth="0" connectionId="35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GetCFData4PA.cfm?BU=0&amp;AcctCode=0_264" growShrinkType="overwriteClear" adjustColumnWidth="0" connectionId="23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GetCFData4PA2.cfm?BU=0&amp;SpeedKey=0_156" growShrinkType="overwriteClear" adjustColumnWidth="0" connectionId="79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GetCFData4PA.cfm?BU=0&amp;AcctCode=0_47" growShrinkType="overwriteClear" adjustColumnWidth="0" connectionId="47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GetCFData4PA.cfm?BU=0&amp;AcctCode=0_73" growShrinkType="overwriteClear" adjustColumnWidth="0" connectionId="44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GetCFData4PA.cfm?BU=UMWOR&amp;AcctCode=W102836_32" growShrinkType="overwriteClear" adjustColumnWidth="0" connectionId="58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GetCFData4PA.cfm?BU=0&amp;AcctCode=0_100" growShrinkType="overwriteClear" adjustColumnWidth="0" connectionId="41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GetCFData4PA2.cfm?BU=0&amp;SpeedKey=0_387" growShrinkType="overwriteClear" adjustColumnWidth="0" connectionId="104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GetCFData4PA.cfm?BU=0&amp;AcctCode=0_120" growShrinkType="overwriteClear" adjustColumnWidth="0" connectionId="39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GetCFData4PA2.cfm?BU=0&amp;SpeedKey=0_76" growShrinkType="overwriteClear" adjustColumnWidth="0" connectionId="70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GetCFData4PA2.cfm?BU=0&amp;SpeedKey=0_93" growShrinkType="overwriteClear" adjustColumnWidth="0" connectionId="72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GetCFData4PA.cfm?BU=UMWOR&amp;AcctCode=W112767" growShrinkType="overwriteClear" adjustColumnWidth="0" connectionId="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GetCFData4PA.cfm?BU=0&amp;AcctCode=0_141" growShrinkType="overwriteClear" adjustColumnWidth="0" connectionId="36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GetCFData4PA.cfm?BU=0&amp;AcctCode=0_441" growShrinkType="overwriteClear" adjustColumnWidth="0" connectionId="57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GetCFData4PA.cfm?BU=0&amp;AcctCode=0_348" growShrinkType="overwriteClear" adjustColumnWidth="0" connectionId="13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GetCFData4PA2.cfm?BU=0&amp;SpeedKey=0_94" growShrinkType="overwriteClear" adjustColumnWidth="0" connectionId="72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GetCFData4PA.cfm?BU=0&amp;AcctCode=0_428" growShrinkType="overwriteClear" adjustColumnWidth="0" connectionId="71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GetCFData4PA.cfm?BU=0&amp;AcctCode=0_66" growShrinkType="overwriteClear" adjustColumnWidth="0" connectionId="45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GetCFData4PA.cfm?BU=0&amp;AcctCode=0_493" growShrinkType="overwriteClear" adjustColumnWidth="0" connectionId="19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GetCFData4PA.cfm?BU=0&amp;AcctCode=0_333" growShrinkType="overwriteClear" adjustColumnWidth="0" connectionId="15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GetCFData4PA.cfm?BU=0&amp;AcctCode=0_394" growShrinkType="overwriteClear" adjustColumnWidth="0" connectionId="15"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GetCFData4PA2.cfm?BU=0&amp;SpeedKey=0_158" growShrinkType="overwriteClear" adjustColumnWidth="0" connectionId="79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GetCFData4PA2.cfm?BU=0&amp;SpeedKey=0_372" growShrinkType="overwriteClear" adjustColumnWidth="0" connectionId="103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GetCFData4PA.cfm?BU=0&amp;AcctCode=0_388" growShrinkType="overwriteClear" adjustColumnWidth="0" connectionId="8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GetCFData4PA2.cfm?BU=0&amp;SpeedKey=0_386" growShrinkType="overwriteClear" adjustColumnWidth="0" connectionId="1045"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GetCFData4PA.cfm?BU=0&amp;AcctCode=0_354" growShrinkType="overwriteClear" adjustColumnWidth="0" connectionId="13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GetCFData4PA2.cfm?BU=0&amp;SpeedKey=0_332" growShrinkType="overwriteClear" adjustColumnWidth="0" connectionId="98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GetCFData4PA2.cfm?BU=0&amp;SpeedKey=0_167" growShrinkType="overwriteClear" adjustColumnWidth="0" connectionId="80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GetCFData4PA.cfm?BU=0&amp;AcctCode=0_374" growShrinkType="overwriteClear" adjustColumnWidth="0" connectionId="11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GetCFData4PA.cfm?BU=0&amp;AcctCode=0_371" growShrinkType="overwriteClear" adjustColumnWidth="0" connectionId="11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GetCFData4PA.cfm?BU=0&amp;AcctCode=0_198" growShrinkType="overwriteClear" adjustColumnWidth="0" connectionId="30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GetCFData4PA2.cfm?BU=0&amp;SpeedKey=0_98" growShrinkType="overwriteClear" adjustColumnWidth="0" connectionId="72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GetCFData4PA.cfm?BU=0&amp;AcctCode=0_350" growShrinkType="overwriteClear" adjustColumnWidth="0" connectionId="13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GetCFData4PA2.cfm?BU=0&amp;SpeedKey=0_370" growShrinkType="overwriteClear" adjustColumnWidth="0" connectionId="102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GetCFData4PA.cfm?BU=UMWOR&amp;AcctCode=W102836_33" growShrinkType="overwriteClear" adjustColumnWidth="0" connectionId="58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GetCFData4PA2.cfm?BU=0&amp;SpeedKey=0_475" growShrinkType="overwriteClear" adjustColumnWidth="0" connectionId="6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GetCFData4PA2.cfm?BU=0&amp;SpeedKey=0_13" growShrinkType="overwriteClear" adjustColumnWidth="0" connectionId="63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GetCFData4PA2.cfm?BU=0&amp;SpeedKey=0_51" growShrinkType="overwriteClear" adjustColumnWidth="0" connectionId="67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GetCFData4PA.cfm?BU=0&amp;AcctCode=0_172" growShrinkType="overwriteClear" adjustColumnWidth="0" connectionId="33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GetCFData4PA.cfm?BU=UMWOR&amp;AcctCode=W102836_63" growShrinkType="overwriteClear" adjustColumnWidth="0" connectionId="54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GetCFData4PA.cfm?BU=UMWOR&amp;AcctCode=W102836_2" growShrinkType="overwriteClear" adjustColumnWidth="0" connectionId="61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GetCFData4PA.cfm?BU=0&amp;AcctCode=0_401" growShrinkType="overwriteClear" adjustColumnWidth="0" connectionId="101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GetCFData4PA.cfm?BU=0&amp;AcctCode=0_320" growShrinkType="overwriteClear" adjustColumnWidth="0" connectionId="16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GetCFData4PA.cfm?BU=UMWOR&amp;AcctCode=W102836_4" growShrinkType="overwriteClear" adjustColumnWidth="0" connectionId="61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GetCFData4PA2.cfm?BU=0&amp;SpeedKey=0_244" growShrinkType="overwriteClear" adjustColumnWidth="0" connectionId="88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GetCFData4PA.cfm?BU=0&amp;AcctCode=0_437" growShrinkType="overwriteClear" adjustColumnWidth="0" connectionId="61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GetCFData4PA2.cfm?BU=0&amp;SpeedKey=0_316" growShrinkType="overwriteClear" adjustColumnWidth="0" connectionId="96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GetCFData4PA2.cfm?BU=0&amp;SpeedKey=0_298" growShrinkType="overwriteClear" adjustColumnWidth="0" connectionId="94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GetCFData4PA.cfm?BU=0&amp;AcctCode=0_11" growShrinkType="overwriteClear" adjustColumnWidth="0" connectionId="51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GetCFData4PA2.cfm?BU=0&amp;SpeedKey=0_124" growShrinkType="overwriteClear" adjustColumnWidth="0" connectionId="75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GetCFData4PA.cfm?BU=0&amp;AcctCode=0_173" growShrinkType="overwriteClear" adjustColumnWidth="0" connectionId="33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GetCFData4PA.cfm?BU=0&amp;AcctCode=0_453" growShrinkType="overwriteClear" adjustColumnWidth="0" connectionId="44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GetCFData4PA.cfm?BU=0&amp;AcctCode=0_289" growShrinkType="overwriteClear" adjustColumnWidth="0" connectionId="20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GetCFData4PA2.cfm?BU=0&amp;SpeedKey=0_449" growShrinkType="overwriteClear" adjustColumnWidth="0" connectionId="3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GetCFData4PA2.cfm?BU=0&amp;SpeedKey=0_108" growShrinkType="overwriteClear" adjustColumnWidth="0" connectionId="73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GetCFData4PA.cfm?BU=0&amp;AcctCode=0_79" growShrinkType="overwriteClear" adjustColumnWidth="0" connectionId="43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GetCFData4PA.cfm?BU=UMWOR&amp;AcctCode=W102836_8" growShrinkType="overwriteClear" adjustColumnWidth="0" connectionId="61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GetCFData4PA.cfm?BU=0&amp;AcctCode=0_310" growShrinkType="overwriteClear" adjustColumnWidth="0" connectionId="18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GetCFData4PA.cfm?BU=UMWOR&amp;AcctCode=W102836_82" growShrinkType="overwriteClear" adjustColumnWidth="0" connectionId="52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GetCFData4PA2.cfm?BU=0&amp;SpeedKey=0_175" growShrinkType="overwriteClear" adjustColumnWidth="0" connectionId="81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GetCFData4PA.cfm?BU=0&amp;AcctCode=0_312" growShrinkType="overwriteClear" adjustColumnWidth="0" connectionId="17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GetCFData4PA2.cfm?BU=0&amp;SpeedKey=0_281" growShrinkType="overwriteClear" adjustColumnWidth="0" connectionId="92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GetCFData4PA.cfm?BU=0&amp;AcctCode=0_190" growShrinkType="overwriteClear" adjustColumnWidth="0" connectionId="31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GetCFData4PA.cfm?BU=0&amp;AcctCode=0_112" growShrinkType="overwriteClear" adjustColumnWidth="0" connectionId="4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GetCFData4PA.cfm?BU=0&amp;AcctCode=0_171" growShrinkType="overwriteClear" adjustColumnWidth="0" connectionId="33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GetCFData4PA.cfm?BU=0&amp;AcctCode=0_489" growShrinkType="overwriteClear" adjustColumnWidth="0" connectionId="64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GetCFData4PA.cfm?BU=0&amp;AcctCode=0_364" growShrinkType="overwriteClear" adjustColumnWidth="0" connectionId="12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GetCFData4PA.cfm?BU=0&amp;AcctCode=0_58" growShrinkType="overwriteClear" adjustColumnWidth="0" connectionId="46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GetCFData4PA.cfm?BU=0&amp;AcctCode=0_356" growShrinkType="overwriteClear" adjustColumnWidth="0" connectionId="12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GetCFData4PA2.cfm?BU=0&amp;SpeedKey=0_196" growShrinkType="overwriteClear" adjustColumnWidth="0" connectionId="83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GetCFData4PA.cfm?BU=0&amp;AcctCode=0_392" growShrinkType="overwriteClear" adjustColumnWidth="0" connectionId="3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GetCFData4PA.cfm?BU=0&amp;AcctCode=0_278" growShrinkType="overwriteClear" adjustColumnWidth="0" connectionId="21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GetCFData4PA.cfm?BU=0&amp;AcctCode=0_75" growShrinkType="overwriteClear" adjustColumnWidth="0" connectionId="44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GetCFData4PA2.cfm?BU=0&amp;SpeedKey=0_333" growShrinkType="overwriteClear" adjustColumnWidth="0" connectionId="98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GetCFData4PA.cfm?BU=0&amp;AcctCode=0_426" growShrinkType="overwriteClear" adjustColumnWidth="0" connectionId="74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GetCFData4PA.cfm?BU=0&amp;AcctCode=0_27" growShrinkType="overwriteClear" adjustColumnWidth="0" connectionId="49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GetCFData4PA.cfm?BU=UMWOR&amp;AcctCode=W102836_14" growShrinkType="overwriteClear" adjustColumnWidth="0" connectionId="60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GetCFData4PA.cfm?BU=0&amp;AcctCode=0_45" growShrinkType="overwriteClear" adjustColumnWidth="0" connectionId="47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GetCFData4PA2.cfm?BU=0&amp;SpeedKey=0_236" growShrinkType="overwriteClear" adjustColumnWidth="0" connectionId="87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GetCFData4PA.cfm?BU=UMWOR&amp;AcctCode=W102836_27" growShrinkType="overwriteClear" adjustColumnWidth="0" connectionId="58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GetCFData4PA.cfm?BU=0&amp;AcctCode=0_39" growShrinkType="overwriteClear" adjustColumnWidth="0" connectionId="48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GetCFData4PA2.cfm?BU=0&amp;SpeedKey=0_5" growShrinkType="overwriteClear" adjustColumnWidth="0" connectionId="62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GetCFData4PA2.cfm?BU=0&amp;SpeedKey=0_440" growShrinkType="overwriteClear" adjustColumnWidth="0" connectionId="2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GetCFData4PA.cfm?BU=UMWOR&amp;AcctCode=W102836_29" growShrinkType="overwriteClear" adjustColumnWidth="0" connectionId="58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GetCFData4PA.cfm?BU=0&amp;AcctCode=0_484" growShrinkType="overwriteClear" adjustColumnWidth="0" connectionId="9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GetCFData4PA.cfm?BU=0&amp;AcctCode=0_485" growShrinkType="overwriteClear" adjustColumnWidth="0" connectionId="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GetCFData4PA.cfm?BU=0&amp;AcctCode=0_91" growShrinkType="overwriteClear" adjustColumnWidth="0" connectionId="42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GetCFData4PA2.cfm?BU=0&amp;SpeedKey=0_237" growShrinkType="overwriteClear" adjustColumnWidth="0" connectionId="88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GetCFData4PA.cfm?BU=UMWOR&amp;AcctCode=W102836_52" growShrinkType="overwriteClear" adjustColumnWidth="0" connectionId="56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GetCFData4PA.cfm?BU=0&amp;AcctCode=0_17" growShrinkType="overwriteClear" adjustColumnWidth="0" connectionId="50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GetCFData4PA2.cfm?BU=0&amp;SpeedKey=0_168" growShrinkType="overwriteClear" adjustColumnWidth="0" connectionId="80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GetCFData4PA.cfm?BU=0&amp;AcctCode=0_368" growShrinkType="overwriteClear" adjustColumnWidth="0" connectionId="11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GetCFData4PA2.cfm?BU=0&amp;SpeedKey=0_480" growShrinkType="overwriteClear" adjustColumnWidth="0" connectionId="6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GetCFData4PA.cfm?BU=0&amp;AcctCode=0_242" growShrinkType="overwriteClear" adjustColumnWidth="0" connectionId="25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GetCFData4PA.cfm?BU=0&amp;AcctCode=0_231" growShrinkType="overwriteClear" adjustColumnWidth="0" connectionId="268"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GetCFData4PA2.cfm?BU=0&amp;SpeedKey=0_336" growShrinkType="overwriteClear" adjustColumnWidth="0" connectionId="99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GetCFData4PA.cfm?BU=0&amp;AcctCode=0_373" growShrinkType="overwriteClear" adjustColumnWidth="0" connectionId="11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GetCFData4PA2.cfm?BU=0&amp;SpeedKey=0_406" growShrinkType="overwriteClear" adjustColumnWidth="0" connectionId="106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GetCFData4PA.cfm?BU=0&amp;AcctCode=0_319" growShrinkType="overwriteClear" adjustColumnWidth="0" connectionId="17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GetCFData4PA2.cfm?BU=0&amp;SpeedKey=0_201" growShrinkType="overwriteClear" adjustColumnWidth="0" connectionId="83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GetCFData4PA.cfm?BU=0&amp;AcctCode=0_470" growShrinkType="overwriteClear" adjustColumnWidth="0" connectionId="25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GetCFData4PA2.cfm?BU=0&amp;SpeedKey=0_53" growShrinkType="overwriteClear" adjustColumnWidth="0" connectionId="67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GetCFData4PA.cfm?BU=UMWOR&amp;AcctCode=W102836_75" growShrinkType="overwriteClear" adjustColumnWidth="0" connectionId="53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GetCFData4PA.cfm?BU=0&amp;AcctCode=0_314" growShrinkType="overwriteClear" adjustColumnWidth="0" connectionId="17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GetCFData4PA2.cfm?BU=0&amp;SpeedKey=0_274" growShrinkType="overwriteClear" adjustColumnWidth="0" connectionId="92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GetCFData4PA.cfm?BU=0&amp;AcctCode=0_275" growShrinkType="overwriteClear" adjustColumnWidth="0" connectionId="22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GetCFData4PA2.cfm?BU=0&amp;SpeedKey=0_482" growShrinkType="overwriteClear" adjustColumnWidth="0" connectionId="7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GetCFData4PA.cfm?BU=0&amp;AcctCode=0_94" growShrinkType="overwriteClear" adjustColumnWidth="0" connectionId="42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GetCFData4PA.cfm?BU=UMWOR&amp;AcctCode=W102836_17" growShrinkType="overwriteClear" adjustColumnWidth="0" connectionId="6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GetCFData4PA.cfm?BU=0&amp;AcctCode=0_250" growShrinkType="overwriteClear" adjustColumnWidth="0" connectionId="24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GetCFData4PA.cfm?BU=0&amp;AcctCode=0_195" growShrinkType="overwriteClear" adjustColumnWidth="0" connectionId="30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GetCFData4PA2.cfm?BU=0&amp;SpeedKey=0_9" growShrinkType="overwriteClear" adjustColumnWidth="0" connectionId="62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GetCFData4PA2.cfm?BU=0&amp;SpeedKey=0_209" growShrinkType="overwriteClear" adjustColumnWidth="0" connectionId="84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GetCFData4PA.cfm?BU=0&amp;AcctCode=0_234" growShrinkType="overwriteClear" adjustColumnWidth="0" connectionId="26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GetCFData4PA.cfm?BU=0&amp;AcctCode=0_227" growShrinkType="overwriteClear" adjustColumnWidth="0" connectionId="27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GetCFData4PA.cfm?BU=0&amp;AcctCode=0_144" growShrinkType="overwriteClear" adjustColumnWidth="0" connectionId="36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GetCFData4PA.cfm?BU=0&amp;AcctCode=0_389" growShrinkType="overwriteClear" adjustColumnWidth="0" connectionId="7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GetCFData4PA.cfm?BU=0&amp;AcctCode=0_221" growShrinkType="overwriteClear" adjustColumnWidth="0" connectionId="27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GetCFData4PA.cfm?BU=UMWOR&amp;AcctCode=W102836_83" growShrinkType="overwriteClear" adjustColumnWidth="0" connectionId="52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GetCFData4PA2.cfm?BU=0&amp;SpeedKey=0_359" growShrinkType="overwriteClear" adjustColumnWidth="0" connectionId="101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GetCFData4PA.cfm?BU=0&amp;AcctCode=0_124" growShrinkType="overwriteClear" adjustColumnWidth="0" connectionId="38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GetCFData4PA2.cfm?BU=0&amp;SpeedKey=0_330" growShrinkType="overwriteClear" adjustColumnWidth="0" connectionId="98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GetCFData4PA.cfm?BU=0&amp;AcctCode=0_402" growShrinkType="overwriteClear" adjustColumnWidth="0" connectionId="100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GetCFData4PA.cfm?BU=0&amp;AcctCode=0_408" growShrinkType="overwriteClear" adjustColumnWidth="0" connectionId="94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GetCFData4PA.cfm?BU=0&amp;AcctCode=0_291" growShrinkType="overwriteClear" adjustColumnWidth="0" connectionId="20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GetCFData4PA.cfm?BU=UMWOR&amp;AcctCode=W102836_78" growShrinkType="overwriteClear" adjustColumnWidth="0" connectionId="53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GetCFData4PA.cfm?BU=0&amp;AcctCode=0_150" growShrinkType="overwriteClear" adjustColumnWidth="0" connectionId="35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GetCFData4PA2.cfm?BU=0&amp;SpeedKey=0_35" growShrinkType="overwriteClear" adjustColumnWidth="0" connectionId="65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GetCFData4PA.cfm?BU=0&amp;AcctCode=0_403" growShrinkType="overwriteClear" adjustColumnWidth="0" connectionId="99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GetCFData4PA2.cfm?BU=0&amp;SpeedKey=0_82" growShrinkType="overwriteClear" adjustColumnWidth="0" connectionId="70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GetCFData4PA.cfm?BU=0&amp;AcctCode=0_181" growShrinkType="overwriteClear" adjustColumnWidth="0" connectionId="32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GetCFData4PA2.cfm?BU=0&amp;SpeedKey=0_261" growShrinkType="overwriteClear" adjustColumnWidth="0" connectionId="90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GetCFData4PA2.cfm?BU=0&amp;SpeedKey=0_382" growShrinkType="overwriteClear" adjustColumnWidth="0" connectionId="104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GetCFData4PA2.cfm?BU=0&amp;SpeedKey=0_79" growShrinkType="overwriteClear" adjustColumnWidth="0" connectionId="70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GetCFData4PA.cfm?BU=0&amp;AcctCode=0_18" growShrinkType="overwriteClear" adjustColumnWidth="0" connectionId="50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GetCFData4PA2.cfm?BU=0&amp;SpeedKey=0_497" growShrinkType="overwriteClear" adjustColumnWidth="0" connectionId="8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GetCFData4PA2.cfm?BU=0&amp;SpeedKey=0_422" growShrinkType="overwriteClear" adjustColumnWidth="0" connectionId="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GetCFData4PA.cfm?BU=0&amp;AcctCode=0_127" growShrinkType="overwriteClear" adjustColumnWidth="0" connectionId="38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GetCFData4PA2.cfm?BU=0&amp;SpeedKey=0_284" growShrinkType="overwriteClear" adjustColumnWidth="0" connectionId="93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GetCFData4PA.cfm?BU=0&amp;AcctCode=0_353" growShrinkType="overwriteClear" adjustColumnWidth="0" connectionId="13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GetCFData4PA.cfm?BU=0&amp;AcctCode=0_285" growShrinkType="overwriteClear" adjustColumnWidth="0" connectionId="20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GetCFData4PA.cfm?BU=0&amp;AcctCode=0_174" growShrinkType="overwriteClear" adjustColumnWidth="0" connectionId="33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GetCFData4PA2.cfm?BU=0&amp;SpeedKey=0_26" growShrinkType="overwriteClear" adjustColumnWidth="0" connectionId="64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GetCFData4PA.cfm?BU=0&amp;AcctCode=0_82" growShrinkType="overwriteClear" adjustColumnWidth="0" connectionId="43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GetCFData4PA2.cfm?BU=0&amp;SpeedKey=0_140" growShrinkType="overwriteClear" adjustColumnWidth="0" connectionId="77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GetCFData4PA2.cfm?BU=0&amp;SpeedKey=0_429" growShrinkType="overwriteClear" adjustColumnWidth="0" connectionId="1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GetCFData4PA.cfm?BU=0&amp;AcctCode=0_327" growShrinkType="overwriteClear" adjustColumnWidth="0" connectionId="16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GetCFData4PA2.cfm?BU=0&amp;SpeedKey=0_247" growShrinkType="overwriteClear" adjustColumnWidth="0" connectionId="89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GetCFData4PA2.cfm?BU=0&amp;SpeedKey=0_223" growShrinkType="overwriteClear" adjustColumnWidth="0" connectionId="86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GetCFData4PA2.cfm?BU=0&amp;SpeedKey=0_306" growShrinkType="overwriteClear" adjustColumnWidth="0" connectionId="95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GetCFData4PA.cfm?BU=UMWOR&amp;AcctCode=W102836_51" growShrinkType="overwriteClear" adjustColumnWidth="0" connectionId="56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GetCFData4PA.cfm?BU=0&amp;AcctCode=0_223" growShrinkType="overwriteClear" adjustColumnWidth="0" connectionId="27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GetCFData4PA.cfm?BU=0&amp;AcctCode=0_440" growShrinkType="overwriteClear" adjustColumnWidth="0" connectionId="58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GetCFData4PA2.cfm?BU=0&amp;SpeedKey=0_447" growShrinkType="overwriteClear" adjustColumnWidth="0" connectionId="3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GetCFData4PA.cfm?BU=0&amp;AcctCode=0_448" growShrinkType="overwriteClear" adjustColumnWidth="0" connectionId="49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GetCFData4PA.cfm?BU=0&amp;AcctCode=0_332" growShrinkType="overwriteClear" adjustColumnWidth="0" connectionId="15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GetCFData4PA.cfm?BU=0&amp;AcctCode=0_154" growShrinkType="overwriteClear" adjustColumnWidth="0" connectionId="35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GetCFData4PA.cfm?BU=0&amp;AcctCode=0_360" growShrinkType="overwriteClear" adjustColumnWidth="0" connectionId="125"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GetCFData4PA2.cfm?BU=0&amp;SpeedKey=0_290" growShrinkType="overwriteClear" adjustColumnWidth="0" connectionId="93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GetCFData4PA2.cfm?BU=0&amp;SpeedKey=0_280" growShrinkType="overwriteClear" adjustColumnWidth="0" connectionId="92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GetCFData4PA2.cfm?BU=0&amp;SpeedKey=0_235" growShrinkType="overwriteClear" adjustColumnWidth="0" connectionId="87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GetCFData4PA2.cfm?BU=0&amp;SpeedKey=0_276" growShrinkType="overwriteClear" adjustColumnWidth="0" connectionId="92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GetCFData4PA2.cfm?BU=0&amp;SpeedKey=0_368" growShrinkType="overwriteClear" adjustColumnWidth="0" connectionId="102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GetCFData4PA.cfm?BU=0&amp;AcctCode=0_65" growShrinkType="overwriteClear" adjustColumnWidth="0" connectionId="45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GetCFData4PA2.cfm?BU=0&amp;SpeedKey=0_289" growShrinkType="overwriteClear" adjustColumnWidth="0" connectionId="93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GetCFData4PA2.cfm?BU=0&amp;SpeedKey=0_409" growShrinkType="overwriteClear" adjustColumnWidth="0" connectionId="107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GetCFData4PA.cfm?BU=0&amp;AcctCode=0_189" growShrinkType="overwriteClear" adjustColumnWidth="0" connectionId="31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GetCFData4PA2.cfm?BU=0&amp;SpeedKey=0_337" growShrinkType="overwriteClear" adjustColumnWidth="0" connectionId="99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GetCFData4PA2.cfm?BU=0&amp;SpeedKey=0_86" growShrinkType="overwriteClear" adjustColumnWidth="0" connectionId="71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GetCFData4PA2.cfm?BU=0&amp;SpeedKey=0_308" growShrinkType="overwriteClear" adjustColumnWidth="0" connectionId="95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GetCFData4PA2.cfm?BU=0&amp;SpeedKey=0_404" growShrinkType="overwriteClear" adjustColumnWidth="0" connectionId="106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GetCFData4PA2.cfm?BU=0&amp;SpeedKey=0_187" growShrinkType="overwriteClear" adjustColumnWidth="0" connectionId="82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GetCFData4PA.cfm?BU=0&amp;AcctCode=0_113" growShrinkType="overwriteClear" adjustColumnWidth="0" connectionId="39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GetCFData4PA.cfm?BU=0&amp;AcctCode=0_443" growShrinkType="overwriteClear" adjustColumnWidth="0" connectionId="55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GetCFData4PA.cfm?BU=0&amp;AcctCode=0_151" growShrinkType="overwriteClear" adjustColumnWidth="0" connectionId="35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GetCFData4PA.cfm?BU=0&amp;AcctCode=0_186" growShrinkType="overwriteClear" adjustColumnWidth="0" connectionId="31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GetCFData4PA2.cfm?BU=0&amp;SpeedKey=0_408" growShrinkType="overwriteClear" adjustColumnWidth="0" connectionId="106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GetCFData4PA2.cfm?BU=0&amp;SpeedKey=0_153" growShrinkType="overwriteClear" adjustColumnWidth="0" connectionId="78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GetCFData4PA2.cfm?BU=0&amp;SpeedKey=0_123" growShrinkType="overwriteClear" adjustColumnWidth="0" connectionId="75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GetCFData4PA2.cfm?BU=0&amp;SpeedKey=0_31" growShrinkType="overwriteClear" adjustColumnWidth="0" connectionId="65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GetCFData4PA2.cfm?BU=0&amp;SpeedKey=0_127" growShrinkType="overwriteClear" adjustColumnWidth="0" connectionId="75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GetCFData4PA.cfm?BU=0&amp;AcctCode=0_452" growShrinkType="overwriteClear" adjustColumnWidth="0" connectionId="452"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GetCFData4PA2.cfm?BU=0&amp;SpeedKey=0_114" growShrinkType="overwriteClear" adjustColumnWidth="0" connectionId="74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GetCFData4PA.cfm?BU=0&amp;AcctCode=0_359" growShrinkType="overwriteClear" adjustColumnWidth="0" connectionId="126"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GetCFData4PA.cfm?BU=0&amp;AcctCode=0_197" growShrinkType="overwriteClear" adjustColumnWidth="0" connectionId="30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GetCFData4PA.cfm?BU=0&amp;AcctCode=0_272" growShrinkType="overwriteClear" adjustColumnWidth="0" connectionId="22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GetCFData4PA2.cfm?BU=0&amp;SpeedKey=0_413" growShrinkType="overwriteClear" adjustColumnWidth="0" connectionId="1075"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GetCFData4PA2.cfm?BU=0&amp;SpeedKey=0_57" growShrinkType="overwriteClear" adjustColumnWidth="0" connectionId="68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GetCFData4PA.cfm?BU=0&amp;AcctCode=0_54" growShrinkType="overwriteClear" adjustColumnWidth="0" connectionId="46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GetCFData4PA2.cfm?BU=0&amp;SpeedKey=0_490" growShrinkType="overwriteClear" adjustColumnWidth="0" connectionId="7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GetCFData4PA2.cfm?BU=0&amp;SpeedKey=0_360" growShrinkType="overwriteClear" adjustColumnWidth="0" connectionId="101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GetCFData4PA.cfm?BU=0&amp;AcctCode=0_210" growShrinkType="overwriteClear" adjustColumnWidth="0" connectionId="29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GetCFData4PA2.cfm?BU=0&amp;SpeedKey=0_412" growShrinkType="overwriteClear" adjustColumnWidth="0" connectionId="107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GetCFData4PA.cfm?BU=0&amp;AcctCode=0_249" growShrinkType="overwriteClear" adjustColumnWidth="0" connectionId="24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GetCFData4PA2.cfm?BU=0&amp;SpeedKey=0_433" growShrinkType="overwriteClear" adjustColumnWidth="0" connectionId="1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GetCFData4PA2.cfm?BU=0&amp;SpeedKey=0_256" growShrinkType="overwriteClear" adjustColumnWidth="0" connectionId="90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GetCFData4PA.cfm?BU=0&amp;AcctCode=0_404" growShrinkType="overwriteClear" adjustColumnWidth="0" connectionId="98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GetCFData4PA.cfm?BU=0&amp;AcctCode=0_89" growShrinkType="overwriteClear" adjustColumnWidth="0" connectionId="42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GetCFData4PA.cfm?BU=0&amp;AcctCode=0_381" growShrinkType="overwriteClear" adjustColumnWidth="0" connectionId="10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GetCFData4PA2.cfm?BU=0&amp;SpeedKey=0_194" growShrinkType="overwriteClear" adjustColumnWidth="0" connectionId="83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GetCFData4PA.cfm?BU=0&amp;AcctCode=0_269" growShrinkType="overwriteClear" adjustColumnWidth="0" connectionId="22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GetCFData4PA2.cfm?BU=0&amp;SpeedKey=0_325" growShrinkType="overwriteClear" adjustColumnWidth="0" connectionId="97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GetCFData4PA.cfm?BU=UMWOR&amp;AcctCode=W102836_39" growShrinkType="overwriteClear" adjustColumnWidth="0" connectionId="57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GetCFData4PA.cfm?BU=0&amp;AcctCode=0_379" growShrinkType="overwriteClear" adjustColumnWidth="0" connectionId="10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GetCFData4PA.cfm?BU=0&amp;AcctCode=0_436" growShrinkType="overwriteClear" adjustColumnWidth="0" connectionId="62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GetCFData4PA2.cfm?BU=0&amp;SpeedKey=0_63" growShrinkType="overwriteClear" adjustColumnWidth="0" connectionId="68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GetCFData4PA2.cfm?BU=0&amp;SpeedKey=0_398" growShrinkType="overwriteClear" adjustColumnWidth="0" connectionId="105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GetCFData4PA.cfm?BU=0&amp;AcctCode=0_431" growShrinkType="overwriteClear" adjustColumnWidth="0" connectionId="68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GetCFData4PA2.cfm?BU=0&amp;SpeedKey=0_442" growShrinkType="overwriteClear" adjustColumnWidth="0" connectionId="2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GetCFData4PA.cfm?BU=0&amp;AcctCode=0_351" growShrinkType="overwriteClear" adjustColumnWidth="0" connectionId="13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GetCFData4PA.cfm?BU=UMWOR&amp;AcctCode=W102836_49" growShrinkType="overwriteClear" adjustColumnWidth="0" connectionId="56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GetCFData4PA.cfm?BU=0&amp;AcctCode=0_472" growShrinkType="overwriteClear" adjustColumnWidth="0" connectionId="23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GetCFData4PA2.cfm?BU=0&amp;SpeedKey=0_69" growShrinkType="overwriteClear" adjustColumnWidth="0" connectionId="69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GetCFData4PA2.cfm?BU=0&amp;SpeedKey=0_120" growShrinkType="overwriteClear" adjustColumnWidth="0" connectionId="74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GetCFData4PA.cfm?BU=UMWOR&amp;AcctCode=W102836_28" growShrinkType="overwriteClear" adjustColumnWidth="0" connectionId="58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GetCFData4PA2.cfm?BU=0&amp;SpeedKey=0_64" growShrinkType="overwriteClear" adjustColumnWidth="0" connectionId="68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GetCFData4PA.cfm?BU=UMWOR&amp;AcctCode=W102836_48" growShrinkType="overwriteClear" adjustColumnWidth="0" connectionId="56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GetCFData4PA2.cfm?BU=0&amp;SpeedKey=0_125" growShrinkType="overwriteClear" adjustColumnWidth="0" connectionId="75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GetCFData4PA2.cfm?BU=0&amp;SpeedKey=0_476" growShrinkType="overwriteClear" adjustColumnWidth="0" connectionId="6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GetCFData4PA.cfm?BU=0&amp;AcctCode=0_475" growShrinkType="overwriteClear" adjustColumnWidth="0" connectionId="19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GetCFData4PA2.cfm?BU=0&amp;SpeedKey=0_397" growShrinkType="overwriteClear" adjustColumnWidth="0" connectionId="105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GetCFData4PA.cfm?BU=0&amp;AcctCode=0_483" growShrinkType="overwriteClear" adjustColumnWidth="0" connectionId="10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GetCFData4PA2.cfm?BU=0&amp;SpeedKey=0_102" growShrinkType="overwriteClear" adjustColumnWidth="0" connectionId="73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GetCFData4PA.cfm?BU=0&amp;AcctCode=0_241" growShrinkType="overwriteClear" adjustColumnWidth="0" connectionId="25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GetCFData4PA2.cfm?BU=0&amp;SpeedKey=0_106" growShrinkType="overwriteClear" adjustColumnWidth="0" connectionId="73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GetCFData4PA2.cfm?BU=0&amp;SpeedKey=0_472" growShrinkType="overwriteClear" adjustColumnWidth="0" connectionId="6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GetCFData4PA2.cfm?BU=0&amp;SpeedKey=0_11" growShrinkType="overwriteClear" adjustColumnWidth="0" connectionId="62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GetCFData4PA2.cfm?BU=0&amp;SpeedKey=0_147" growShrinkType="overwriteClear" adjustColumnWidth="0" connectionId="78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GetCFData4PA2.cfm?BU=0&amp;SpeedKey=0_294" growShrinkType="overwriteClear" adjustColumnWidth="0" connectionId="94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GetCFData4PA.cfm?BU=0&amp;AcctCode=0_118" growShrinkType="overwriteClear" adjustColumnWidth="0" connectionId="39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GetCFData4PA2.cfm?BU=0&amp;SpeedKey=0_73" growShrinkType="overwriteClear" adjustColumnWidth="0" connectionId="69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GetCFData4PA.cfm?BU=0&amp;AcctCode=0_339" growShrinkType="overwriteClear" adjustColumnWidth="0" connectionId="14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GetCFData4PA.cfm?BU=0&amp;AcctCode=0_321" growShrinkType="overwriteClear" adjustColumnWidth="0" connectionId="16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GetCFData4PA2.cfm?BU=0&amp;SpeedKey=0_161" growShrinkType="overwriteClear" adjustColumnWidth="0" connectionId="79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GetCFData4PA.cfm?BU=0&amp;AcctCode=0_474" growShrinkType="overwriteClear" adjustColumnWidth="0" connectionId="20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GetCFData4PA.cfm?BU=0&amp;AcctCode=0_224" growShrinkType="overwriteClear" adjustColumnWidth="0" connectionId="27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GetCFData4PA.cfm?BU=UMWOR&amp;AcctCode=W102836_80" growShrinkType="overwriteClear" adjustColumnWidth="0" connectionId="53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GetCFData4PA.cfm?BU=0&amp;AcctCode=0_6" growShrinkType="overwriteClear" adjustColumnWidth="0" connectionId="51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GetCFData4PA.cfm?BU=UMWOR&amp;AcctCode=W102836_58" growShrinkType="overwriteClear" adjustColumnWidth="0" connectionId="55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GetCFData4PA.cfm?BU=0&amp;AcctCode=0_244" growShrinkType="overwriteClear" adjustColumnWidth="0" connectionId="25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GetCFData4PA.cfm?BU=0&amp;AcctCode=0_438" growShrinkType="overwriteClear" adjustColumnWidth="0" connectionId="60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GetCFData4PA2.cfm?BU=0&amp;SpeedKey=0_461" growShrinkType="overwriteClear" adjustColumnWidth="0" connectionId="4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GetCFData4PA2.cfm?BU=0&amp;SpeedKey=0_460" growShrinkType="overwriteClear" adjustColumnWidth="0" connectionId="4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GetCFData4PA.cfm?BU=0&amp;AcctCode=0_107" growShrinkType="overwriteClear" adjustColumnWidth="0" connectionId="40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GetCFData4PA2.cfm?BU=0&amp;SpeedKey=0_91" growShrinkType="overwriteClear" adjustColumnWidth="0" connectionId="71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GetCFData4PA2.cfm?BU=0&amp;SpeedKey=0_438" growShrinkType="overwriteClear" adjustColumnWidth="0" connectionId="2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GetCFData4PA2.cfm?BU=0&amp;SpeedKey=0_132" growShrinkType="overwriteClear" adjustColumnWidth="0" connectionId="76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GetCFData4PA2.cfm?BU=0&amp;SpeedKey=0_99" growShrinkType="overwriteClear" adjustColumnWidth="0" connectionId="72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GetCFData4PA.cfm?BU=0&amp;AcctCode=0_338" growShrinkType="overwriteClear" adjustColumnWidth="0" connectionId="14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GetCFData4PA2.cfm?BU=0&amp;SpeedKey=0_81" growShrinkType="overwriteClear" adjustColumnWidth="0" connectionId="70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GetCFData4PA2.cfm?BU=0&amp;SpeedKey=0_339" growShrinkType="overwriteClear" adjustColumnWidth="0" connectionId="99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GetCFData4PA2.cfm?BU=0&amp;SpeedKey=0_374" growShrinkType="overwriteClear" adjustColumnWidth="0" connectionId="103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GetCFData4PA2.cfm?BU=0&amp;SpeedKey=0_285" growShrinkType="overwriteClear" adjustColumnWidth="0" connectionId="93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GetCFData4PA2.cfm?BU=0&amp;SpeedKey=0_103" growShrinkType="overwriteClear" adjustColumnWidth="0" connectionId="73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GetCFData4PA2.cfm?BU=0&amp;SpeedKey=0_55" growShrinkType="overwriteClear" adjustColumnWidth="0" connectionId="678"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GetCFData4PA.cfm?BU=0&amp;AcctCode=0_442" growShrinkType="overwriteClear" adjustColumnWidth="0" connectionId="56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GetCFData4PA.cfm?BU=UMWOR&amp;AcctCode=W102836_76" growShrinkType="overwriteClear" adjustColumnWidth="0" connectionId="53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GetCFData4PA2.cfm?BU=0&amp;SpeedKey=0_43" growShrinkType="overwriteClear" adjustColumnWidth="0" connectionId="665"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GetCFData4PA.cfm?BU=0&amp;AcctCode=0_34" growShrinkType="overwriteClear" adjustColumnWidth="0" connectionId="48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GetCFData4PA.cfm?BU=0&amp;AcctCode=0_57" growShrinkType="overwriteClear" adjustColumnWidth="0" connectionId="46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GetCFData4PA.cfm?BU=0&amp;AcctCode=0_205" growShrinkType="overwriteClear" adjustColumnWidth="0" connectionId="29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GetCFData4PA.cfm?BU=0&amp;AcctCode=0_43" growShrinkType="overwriteClear" adjustColumnWidth="0" connectionId="47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GetCFData4PA.cfm?BU=0&amp;AcctCode=0_130" growShrinkType="overwriteClear" adjustColumnWidth="0" connectionId="38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GetCFData4PA2.cfm?BU=0&amp;SpeedKey=0_312" growShrinkType="overwriteClear" adjustColumnWidth="0" connectionId="96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GetCFData4PA2.cfm?BU=0&amp;SpeedKey=0_487" growShrinkType="overwriteClear" adjustColumnWidth="0" connectionId="7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GetCFData4PA.cfm?BU=0&amp;AcctCode=0_358" growShrinkType="overwriteClear" adjustColumnWidth="0" connectionId="127"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GetCFData4PA2.cfm?BU=0&amp;SpeedKey=0_361" growShrinkType="overwriteClear" adjustColumnWidth="0" connectionId="101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GetCFData4PA2.cfm?BU=0&amp;SpeedKey=0_426" growShrinkType="overwriteClear" adjustColumnWidth="0" connectionId="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GetCFData4PA2.cfm?BU=0&amp;SpeedKey=0_83" growShrinkType="overwriteClear" adjustColumnWidth="0" connectionId="70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GetCFData4PA.cfm?BU=0&amp;AcctCode=0_492" growShrinkType="overwriteClear" adjustColumnWidth="0" connectionId="30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GetCFData4PA2.cfm?BU=0&amp;SpeedKey=0_352" growShrinkType="overwriteClear" adjustColumnWidth="0" connectionId="100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GetCFData4PA.cfm?BU=0&amp;AcctCode=0_435" growShrinkType="overwriteClear" adjustColumnWidth="0" connectionId="64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GetCFData4PA2.cfm?BU=0&amp;SpeedKey=0_34" growShrinkType="overwriteClear" adjustColumnWidth="0" connectionId="65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GetCFData4PA2.cfm?BU=0&amp;SpeedKey=0_454" growShrinkType="overwriteClear" adjustColumnWidth="0" connectionId="4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GetCFData4PA.cfm?BU=UMWOR&amp;AcctCode=W102836_57" growShrinkType="overwriteClear" adjustColumnWidth="0" connectionId="55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GetCFData4PA.cfm?BU=0&amp;AcctCode=0_415" growShrinkType="overwriteClear" adjustColumnWidth="0" connectionId="86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GetCFData4PA2.cfm?BU=0&amp;SpeedKey=0_173" growShrinkType="overwriteClear" adjustColumnWidth="0" connectionId="80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GetCFData4PA2.cfm?BU=0&amp;SpeedKey=0_109" growShrinkType="overwriteClear" adjustColumnWidth="0" connectionId="73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GetCFData4PA.cfm?BU=0&amp;AcctCode=0_165" growShrinkType="overwriteClear" adjustColumnWidth="0" connectionId="34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GetCFData4PA2.cfm?BU=0&amp;SpeedKey=0_252" growShrinkType="overwriteClear" adjustColumnWidth="0" connectionId="89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GetCFData4PA2.cfm?BU=0&amp;SpeedKey=0_151" growShrinkType="overwriteClear" adjustColumnWidth="0" connectionId="78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GetCFData4PA.cfm?BU=UMWOR&amp;AcctCode=W102836_43" growShrinkType="overwriteClear" adjustColumnWidth="0" connectionId="57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GetCFData4PA2.cfm?BU=0&amp;SpeedKey=0_113" growShrinkType="overwriteClear" adjustColumnWidth="0" connectionId="74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GetCFData4PA2.cfm?BU=0&amp;SpeedKey=0_204" growShrinkType="overwriteClear" adjustColumnWidth="0" connectionId="84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GetCFData4PA.cfm?BU=0&amp;AcctCode=0_93" growShrinkType="overwriteClear" adjustColumnWidth="0" connectionId="42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GetCFData4PA2.cfm?BU=0&amp;SpeedKey=0_303" growShrinkType="overwriteClear" adjustColumnWidth="0" connectionId="95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GetCFData4PA2.cfm?BU=0&amp;SpeedKey=0_323" growShrinkType="overwriteClear" adjustColumnWidth="0" connectionId="97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GetCFData4PA2.cfm?BU=0&amp;SpeedKey=0_138" growShrinkType="overwriteClear" adjustColumnWidth="0" connectionId="77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GetCFData4PA.cfm?BU=0&amp;AcctCode=0_461" growShrinkType="overwriteClear" adjustColumnWidth="0" connectionId="35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GetCFData4PA2.cfm?BU=0&amp;SpeedKey=0_350" growShrinkType="overwriteClear" adjustColumnWidth="0" connectionId="100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GetCFData4PA2.cfm?BU=0&amp;SpeedKey=0_58" growShrinkType="overwriteClear" adjustColumnWidth="0" connectionId="68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GetCFData4PA.cfm?BU=UMWOR&amp;AcctCode=W102836_15" growShrinkType="overwriteClear" adjustColumnWidth="0" connectionId="60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GetCFData4PA2.cfm?BU=0&amp;SpeedKey=0_425" growShrinkType="overwriteClear" adjustColumnWidth="0" connectionId="8"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GetCFData4PA2.cfm?BU=0&amp;SpeedKey=0_112" growShrinkType="overwriteClear" adjustColumnWidth="0" connectionId="74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GetCFData4PA2.cfm?BU=0&amp;SpeedKey=0_456" growShrinkType="overwriteClear" adjustColumnWidth="0" connectionId="4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GetCFData4PA2.cfm?BU=0&amp;SpeedKey=0_60" growShrinkType="overwriteClear" adjustColumnWidth="0" connectionId="68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GetCFData4PA.cfm?BU=0&amp;AcctCode=0_36" growShrinkType="overwriteClear" adjustColumnWidth="0" connectionId="48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GetCFData4PA2.cfm?BU=0&amp;SpeedKey=0_130" growShrinkType="overwriteClear" adjustColumnWidth="0" connectionId="76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GetCFData4PA2.cfm?BU=0&amp;SpeedKey=0_77" growShrinkType="overwriteClear" adjustColumnWidth="0" connectionId="702"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GetCFData4PA2.cfm?BU=0&amp;SpeedKey=0_496" growShrinkType="overwriteClear" adjustColumnWidth="0" connectionId="8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GetCFData4PA2.cfm?BU=0&amp;SpeedKey=0_101" growShrinkType="overwriteClear" adjustColumnWidth="0" connectionId="72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GetCFData4PA.cfm?BU=0&amp;AcctCode=0_237" growShrinkType="overwriteClear" adjustColumnWidth="0" connectionId="26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GetCFData4PA.cfm?BU=0&amp;AcctCode=0_384" growShrinkType="overwriteClear" adjustColumnWidth="0" connectionId="9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GetCFData4PA2.cfm?BU=0&amp;SpeedKey=0_434" growShrinkType="overwriteClear" adjustColumnWidth="0" connectionId="1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GetCFData4PA.cfm?BU=0&amp;AcctCode=0_377" growShrinkType="overwriteClear" adjustColumnWidth="0" connectionId="10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GetCFData4PA2.cfm?BU=0&amp;SpeedKey=0_96" growShrinkType="overwriteClear" adjustColumnWidth="0" connectionId="72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GetCFData4PA.cfm?BU=0&amp;AcctCode=0_220" growShrinkType="overwriteClear" adjustColumnWidth="0" connectionId="28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GetCFData4PA.cfm?BU=UMWOR&amp;AcctCode=W102836_55" growShrinkType="overwriteClear" adjustColumnWidth="0" connectionId="55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GetCFData4PA.cfm?BU=0&amp;AcctCode=0_163" growShrinkType="overwriteClear" adjustColumnWidth="0" connectionId="34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GetCFData4PA.cfm?BU=0&amp;AcctCode=0_399" growShrinkType="overwriteClear" adjustColumnWidth="0" connectionId="104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GetCFData4PA2.cfm?BU=0&amp;SpeedKey=0_186" growShrinkType="overwriteClear" adjustColumnWidth="0" connectionId="82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GetCFData4PA.cfm?BU=0&amp;AcctCode=0_153" growShrinkType="overwriteClear" adjustColumnWidth="0" connectionId="35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GetCFData4PA2.cfm?BU=0&amp;SpeedKey=0_192" growShrinkType="overwriteClear" adjustColumnWidth="0" connectionId="83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GetCFData4PA.cfm?BU=UMWOR&amp;AcctCode=W102836_79" growShrinkType="overwriteClear" adjustColumnWidth="0" connectionId="53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GetCFData4PA.cfm?BU=0&amp;AcctCode=0_304" growShrinkType="overwriteClear" adjustColumnWidth="0" connectionId="18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GetCFData4PA.cfm?BU=0&amp;AcctCode=0_255" growShrinkType="overwriteClear" adjustColumnWidth="0" connectionId="24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GetCFData4PA2.cfm?BU=0&amp;SpeedKey=0_329" growShrinkType="overwriteClear" adjustColumnWidth="0" connectionId="98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GetCFData4PA.cfm?BU=0&amp;AcctCode=0_42" growShrinkType="overwriteClear" adjustColumnWidth="0" connectionId="47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GetCFData4PA.cfm?BU=UMWOR&amp;AcctCode=W102836_74" growShrinkType="overwriteClear" adjustColumnWidth="0" connectionId="53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GetCFData4PA.cfm?BU=0&amp;AcctCode=0_81" growShrinkType="overwriteClear" adjustColumnWidth="0" connectionId="43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GetCFData4PA.cfm?BU=0&amp;AcctCode=0_298" growShrinkType="overwriteClear" adjustColumnWidth="0" connectionId="19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GetCFData4PA.cfm?BU=0&amp;AcctCode=0_101" growShrinkType="overwriteClear" adjustColumnWidth="0" connectionId="41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GetCFData4PA.cfm?BU=0&amp;AcctCode=0_293" growShrinkType="overwriteClear" adjustColumnWidth="0" connectionId="2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GetCFData4PA2.cfm?BU=0&amp;SpeedKey=0_224" growShrinkType="overwriteClear" adjustColumnWidth="0" connectionId="86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GetCFData4PA2.cfm?BU=0&amp;SpeedKey=0_373" growShrinkType="overwriteClear" adjustColumnWidth="0" connectionId="103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GetCFData4PA.cfm?BU=0&amp;AcctCode=0_133" growShrinkType="overwriteClear" adjustColumnWidth="0" connectionId="37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GetCFData4PA2.cfm?BU=0&amp;SpeedKey=0_328" growShrinkType="overwriteClear" adjustColumnWidth="0" connectionId="98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GetCFData4PA2.cfm?BU=0&amp;SpeedKey=0_22" growShrinkType="overwriteClear" adjustColumnWidth="0" connectionId="64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GetCFData4PA2.cfm?BU=0&amp;SpeedKey=0_87" growShrinkType="overwriteClear" adjustColumnWidth="0" connectionId="71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GetCFData4PA2.cfm?BU=0&amp;SpeedKey=0_319" growShrinkType="overwriteClear" adjustColumnWidth="0" connectionId="97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GetCFData4PA.cfm?BU=0&amp;AcctCode=0_191" growShrinkType="overwriteClear" adjustColumnWidth="0" connectionId="31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GetCFData4PA2.cfm?BU=0&amp;SpeedKey=0_36" growShrinkType="overwriteClear" adjustColumnWidth="0" connectionId="65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GetCFData4PA.cfm?BU=0&amp;AcctCode=0_211" growShrinkType="overwriteClear" adjustColumnWidth="0" connectionId="29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GetCFData4PA.cfm?BU=0&amp;AcctCode=0_268" growShrinkType="overwriteClear" adjustColumnWidth="0" connectionId="22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GetCFData4PA.cfm?BU=0&amp;AcctCode=0_50" growShrinkType="overwriteClear" adjustColumnWidth="0" connectionId="469"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GetCFData4PA.cfm?BU=UMWOR&amp;AcctCode=W102836_40" growShrinkType="overwriteClear" adjustColumnWidth="0" connectionId="57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GetCFData4PA.cfm?BU=0&amp;AcctCode=0_246" growShrinkType="overwriteClear" adjustColumnWidth="0" connectionId="25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GetCFData4PA2.cfm?BU=0&amp;SpeedKey=0_149" growShrinkType="overwriteClear" adjustColumnWidth="0" connectionId="78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GetCFData4PA.cfm?BU=UMWOR&amp;AcctCode=W102836_5" growShrinkType="overwriteClear" adjustColumnWidth="0" connectionId="61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GetCFData4PA.cfm?BU=0&amp;AcctCode=0_344" growShrinkType="overwriteClear" adjustColumnWidth="0" connectionId="14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GetCFData4PA.cfm?BU=0&amp;AcctCode=0_279" growShrinkType="overwriteClear" adjustColumnWidth="0" connectionId="21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GetCFData4PA2.cfm?BU=0&amp;SpeedKey=0_128" growShrinkType="overwriteClear" adjustColumnWidth="0" connectionId="75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GetCFData4PA.cfm?BU=UMWOR&amp;AcctCode=W102836_41" growShrinkType="overwriteClear" adjustColumnWidth="0" connectionId="573"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GetCFData4PA.cfm?BU=0&amp;AcctCode=0_361" growShrinkType="overwriteClear" adjustColumnWidth="0" connectionId="124"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GetCFData4PA2.cfm?BU=0&amp;SpeedKey=0_214" growShrinkType="overwriteClear" adjustColumnWidth="0" connectionId="85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GetCFData4PA2.cfm?BU=0&amp;SpeedKey=0_220" growShrinkType="overwriteClear" adjustColumnWidth="0" connectionId="86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GetCFData4PA.cfm?BU=0&amp;AcctCode=0_491" growShrinkType="overwriteClear" adjustColumnWidth="0" connectionId="418"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GetCFData4PA2.cfm?BU=0&amp;SpeedKey=0_232" growShrinkType="overwriteClear" adjustColumnWidth="0" connectionId="87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GetCFData4PA.cfm?BU=0&amp;AcctCode=0_362" growShrinkType="overwriteClear" adjustColumnWidth="0" connectionId="12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GetCFData4PA.cfm?BU=0&amp;AcctCode=0_213" growShrinkType="overwriteClear" adjustColumnWidth="0" connectionId="28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GetCFData4PA2.cfm?BU=0&amp;SpeedKey=0_259" growShrinkType="overwriteClear" adjustColumnWidth="0" connectionId="90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GetCFData4PA.cfm?BU=0&amp;AcctCode=0_215" growShrinkType="overwriteClear" adjustColumnWidth="0" connectionId="28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GetCFData4PA.cfm?BU=0&amp;AcctCode=0_48" growShrinkType="overwriteClear" adjustColumnWidth="0" connectionId="47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GetCFData4PA2.cfm?BU=0&amp;SpeedKey=0_52" growShrinkType="overwriteClear" adjustColumnWidth="0" connectionId="67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GetCFData4PA.cfm?BU=0&amp;AcctCode=0_111" growShrinkType="overwriteClear" adjustColumnWidth="0" connectionId="40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GetCFData4PA2.cfm?BU=0&amp;SpeedKey=0_226" growShrinkType="overwriteClear" adjustColumnWidth="0" connectionId="86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GetCFData4PA2.cfm?BU=0&amp;SpeedKey=0_466" growShrinkType="overwriteClear" adjustColumnWidth="0" connectionId="5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GetCFData4PA.cfm?BU=0&amp;AcctCode=0_265" growShrinkType="overwriteClear" adjustColumnWidth="0" connectionId="23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GetCFData4PA2.cfm?BU=0&amp;SpeedKey=0_59" growShrinkType="overwriteClear" adjustColumnWidth="0" connectionId="68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GetCFData4PA.cfm?BU=UMWOR&amp;AcctCode=W102836_20" growShrinkType="overwriteClear" adjustColumnWidth="0" connectionId="59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GetCFData4PA2.cfm?BU=0&amp;SpeedKey=0_80" growShrinkType="overwriteClear" adjustColumnWidth="0" connectionId="70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GetCFData4PA.cfm?BU=0&amp;AcctCode=0_420" growShrinkType="overwriteClear" adjustColumnWidth="0" connectionId="80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GetCFData4PA2.cfm?BU=0&amp;SpeedKey=0_157" growShrinkType="overwriteClear" adjustColumnWidth="0" connectionId="79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GetCFData4PA2.cfm?BU=0&amp;SpeedKey=0_110" growShrinkType="overwriteClear" adjustColumnWidth="0" connectionId="73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GetCFData4PA.cfm?BU=0&amp;AcctCode=0_252" growShrinkType="overwriteClear" adjustColumnWidth="0" connectionId="24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GetCFData4PA.cfm?BU=0&amp;AcctCode=0_316" growShrinkType="overwriteClear" adjustColumnWidth="0" connectionId="17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GetCFData4PA.cfm?BU=0&amp;AcctCode=0_478" growShrinkType="overwriteClear" adjustColumnWidth="0" connectionId="163"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GetCFData4PA.cfm?BU=0&amp;AcctCode=0_295" growShrinkType="overwriteClear" adjustColumnWidth="0" connectionId="19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GetCFData4PA2.cfm?BU=0&amp;SpeedKey=0_248" growShrinkType="overwriteClear" adjustColumnWidth="0" connectionId="89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GetCFData4PA.cfm?BU=0&amp;AcctCode=0_259" growShrinkType="overwriteClear" adjustColumnWidth="0" connectionId="23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GetCFData4PA.cfm?BU=0&amp;AcctCode=0_72" growShrinkType="overwriteClear" adjustColumnWidth="0" connectionId="44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GetCFData4PA.cfm?BU=0&amp;AcctCode=0_451" growShrinkType="overwriteClear" adjustColumnWidth="0" connectionId="46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GetCFData4PA.cfm?BU=0&amp;AcctCode=0_369" growShrinkType="overwriteClear" adjustColumnWidth="0" connectionId="11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GetCFData4PA.cfm?BU=0&amp;AcctCode=0_412" growShrinkType="overwriteClear" adjustColumnWidth="0" connectionId="89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GetCFData4PA2.cfm?BU=0&amp;SpeedKey=0_133" growShrinkType="overwriteClear" adjustColumnWidth="0" connectionId="765"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GetCFData4PA2.cfm?BU=0&amp;SpeedKey=0_295" growShrinkType="overwriteClear" adjustColumnWidth="0" connectionId="94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GetCFData4PA.cfm?BU=0&amp;AcctCode=0_423" growShrinkType="overwriteClear" adjustColumnWidth="0" connectionId="77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GetCFData4PA2.cfm?BU=0&amp;SpeedKey=0_379" growShrinkType="overwriteClear" adjustColumnWidth="0" connectionId="103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GetCFData4PA2.cfm?BU=0&amp;SpeedKey=0_424" growShrinkType="overwriteClear" adjustColumnWidth="0" connectionId="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GetCFData4PA.cfm?BU=UMWOR&amp;AcctCode=W102836_60" growShrinkType="overwriteClear" adjustColumnWidth="0" connectionId="55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GetCFData4PA.cfm?BU=UMWOR&amp;AcctCode=W102836_25" growShrinkType="overwriteClear" adjustColumnWidth="0" connectionId="59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GetCFData4PA2.cfm?BU=0&amp;SpeedKey=0_467" growShrinkType="overwriteClear" adjustColumnWidth="0" connectionId="5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GetCFData4PA.cfm?BU=0&amp;AcctCode=0_467" growShrinkType="overwriteClear" adjustColumnWidth="0" connectionId="28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GetCFData4PA.cfm?BU=0&amp;AcctCode=0_126" growShrinkType="overwriteClear" adjustColumnWidth="0" connectionId="384"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GetCFData4PA.cfm?BU=UMWOR&amp;AcctCode=W102836_73" growShrinkType="overwriteClear" adjustColumnWidth="0" connectionId="53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GetCFData4PA.cfm?BU=0&amp;AcctCode=0_13" growShrinkType="overwriteClear" adjustColumnWidth="0" connectionId="51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GetCFData4PA.cfm?BU=UMWOR&amp;AcctCode=W102836_44" growShrinkType="overwriteClear" adjustColumnWidth="0" connectionId="57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GetCFData4PA2.cfm?BU=0&amp;SpeedKey=0_188" growShrinkType="overwriteClear" adjustColumnWidth="0" connectionId="82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GetCFData4PA.cfm?BU=0&amp;AcctCode=0_62" growShrinkType="overwriteClear" adjustColumnWidth="0" connectionId="45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GetCFData4PA.cfm?BU=0&amp;AcctCode=0_254" growShrinkType="overwriteClear" adjustColumnWidth="0" connectionId="24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GetCFData4PA.cfm?BU=0&amp;AcctCode=0_422" growShrinkType="overwriteClear" adjustColumnWidth="0" connectionId="78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GetCFData4PA.cfm?BU=0&amp;AcctCode=0_308" growShrinkType="overwriteClear" adjustColumnWidth="0" connectionId="18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GetCFData4PA2.cfm?BU=0&amp;SpeedKey=0_435" growShrinkType="overwriteClear" adjustColumnWidth="0" connectionId="1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GetCFData4PA.cfm?BU=0&amp;AcctCode=0_335" growShrinkType="overwriteClear" adjustColumnWidth="0" connectionId="15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GetCFData4PA2.cfm?BU=0&amp;SpeedKey=0_334" growShrinkType="overwriteClear" adjustColumnWidth="0" connectionId="98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GetCFData4PA.cfm?BU=0&amp;AcctCode=0_202" growShrinkType="overwriteClear" adjustColumnWidth="0" connectionId="3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GetCFData4PA.cfm?BU=UMWOR&amp;AcctCode=W102836_38" growShrinkType="overwriteClear" adjustColumnWidth="0" connectionId="57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GetCFData4PA.cfm?BU=0&amp;AcctCode=0_159" growShrinkType="overwriteClear" adjustColumnWidth="0" connectionId="34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GetCFData4PA2.cfm?BU=0&amp;SpeedKey=0_489" growShrinkType="overwriteClear" adjustColumnWidth="0" connectionId="78"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GetCFData4PA2.cfm?BU=0&amp;SpeedKey=0_117" growShrinkType="overwriteClear" adjustColumnWidth="0" connectionId="74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GetCFData4PA2.cfm?BU=0&amp;SpeedKey=0_193" growShrinkType="overwriteClear" adjustColumnWidth="0" connectionId="83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GetCFData4PA2.cfm?BU=0&amp;SpeedKey=0_348" growShrinkType="overwriteClear" adjustColumnWidth="0" connectionId="100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GetCFData4PA2.cfm?BU=0&amp;SpeedKey=0_320" growShrinkType="overwriteClear" adjustColumnWidth="0" connectionId="97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GetCFData4PA.cfm?BU=0&amp;AcctCode=0_294" growShrinkType="overwriteClear" adjustColumnWidth="0" connectionId="199"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GetCFData4PA.cfm?BU=0&amp;AcctCode=0_446" growShrinkType="overwriteClear" adjustColumnWidth="0" connectionId="51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GetCFData4PA.cfm?BU=0&amp;AcctCode=0_375" growShrinkType="overwriteClear" adjustColumnWidth="0" connectionId="10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GetCFData4PA2.cfm?BU=0&amp;SpeedKey=0_189" growShrinkType="overwriteClear" adjustColumnWidth="0" connectionId="82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GetCFData4PA.cfm?BU=0&amp;AcctCode=0_396" growShrinkType="overwriteClear" adjustColumnWidth="0" connectionId="107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GetCFData4PA2.cfm?BU=0&amp;SpeedKey=0_268" growShrinkType="overwriteClear" adjustColumnWidth="0" connectionId="91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GetCFData4PA2.cfm?BU=0&amp;SpeedKey=0_49" growShrinkType="overwriteClear" adjustColumnWidth="0" connectionId="67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GetCFData4PA.cfm?BU=0&amp;AcctCode=0_56" growShrinkType="overwriteClear" adjustColumnWidth="0" connectionId="46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GetCFData4PA.cfm?BU=0&amp;AcctCode=0_342" growShrinkType="overwriteClear" adjustColumnWidth="0" connectionId="14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GetCFData4PA.cfm?BU=0&amp;AcctCode=0_132" growShrinkType="overwriteClear" adjustColumnWidth="0" connectionId="37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GetCFData4PA2.cfm?BU=0&amp;SpeedKey=0_241" growShrinkType="overwriteClear" adjustColumnWidth="0" connectionId="884"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GetCFData4PA2.cfm?BU=0&amp;SpeedKey=0_33" growShrinkType="overwriteClear" adjustColumnWidth="0" connectionId="65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GetCFData4PA2.cfm?BU=0&amp;SpeedKey=0_218" growShrinkType="overwriteClear" adjustColumnWidth="0" connectionId="85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GetCFData4PA2.cfm?BU=0&amp;SpeedKey=0_116" growShrinkType="overwriteClear" adjustColumnWidth="0" connectionId="74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GetCFData4PA2.cfm?BU=0&amp;SpeedKey=0_444" growShrinkType="overwriteClear" adjustColumnWidth="0" connectionId="2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GetCFData4PA2.cfm?BU=0&amp;SpeedKey=0_137" growShrinkType="overwriteClear" adjustColumnWidth="0" connectionId="76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GetCFData4PA.cfm?BU=0&amp;AcctCode=0_398" growShrinkType="overwriteClear" adjustColumnWidth="0" connectionId="105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GetCFData4PA2.cfm?BU=0&amp;SpeedKey=0_215" growShrinkType="overwriteClear" adjustColumnWidth="0" connectionId="85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GetCFData4PA2.cfm?BU=0&amp;SpeedKey=0_207" growShrinkType="overwriteClear" adjustColumnWidth="0" connectionId="84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GetCFData4PA.cfm?BU=0&amp;AcctCode=0_286" growShrinkType="overwriteClear" adjustColumnWidth="0" connectionId="20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GetCFData4PA.cfm?BU=0&amp;AcctCode=0_121" growShrinkType="overwriteClear" adjustColumnWidth="0" connectionId="39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GetCFData4PA.cfm?BU=0&amp;AcctCode=0_376" growShrinkType="overwriteClear" adjustColumnWidth="0" connectionId="10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GetCFData4PA.cfm?BU=0&amp;AcctCode=0_80" growShrinkType="overwriteClear" adjustColumnWidth="0" connectionId="43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GetCFData4PA.cfm?BU=0&amp;AcctCode=0_96" growShrinkType="overwriteClear" adjustColumnWidth="0" connectionId="417"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GetCFData4PA.cfm?BU=UMWOR&amp;AcctCode=W102836_45" growShrinkType="overwriteClear" adjustColumnWidth="0" connectionId="569"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GetCFData4PA2.cfm?BU=0&amp;SpeedKey=0_367" growShrinkType="overwriteClear" adjustColumnWidth="0" connectionId="102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GetCFData4PA.cfm?BU=UMWOR&amp;AcctCode=W102836_26" growShrinkType="overwriteClear" adjustColumnWidth="0" connectionId="59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GetCFData4PA2.cfm?BU=0&amp;SpeedKey=0_498" growShrinkType="overwriteClear" adjustColumnWidth="0" connectionId="8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GetCFData4PA2.cfm?BU=0&amp;SpeedKey=0_302" growShrinkType="overwriteClear" adjustColumnWidth="0" connectionId="95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GetCFData4PA.cfm?BU=0&amp;AcctCode=0_432" growShrinkType="overwriteClear" adjustColumnWidth="0" connectionId="67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GetCFData4PA2.cfm?BU=0&amp;SpeedKey=0_304" growShrinkType="overwriteClear" adjustColumnWidth="0" connectionId="95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GetCFData4PA2.cfm?BU=0&amp;SpeedKey=0_200" growShrinkType="overwriteClear" adjustColumnWidth="0" connectionId="83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GetCFData4PA.cfm?BU=0&amp;AcctCode=0_31" growShrinkType="overwriteClear" adjustColumnWidth="0" connectionId="49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GetCFData4PA.cfm?BU=0&amp;AcctCode=0_248" growShrinkType="overwriteClear" adjustColumnWidth="0" connectionId="24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GetCFData4PA2.cfm?BU=0&amp;SpeedKey=0_491" growShrinkType="overwriteClear" adjustColumnWidth="0" connectionId="8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GetCFData4PA.cfm?BU=0&amp;AcctCode=0_218" growShrinkType="overwriteClear" adjustColumnWidth="0" connectionId="28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GetCFData4PA.cfm?BU=0&amp;AcctCode=0_7" growShrinkType="overwriteClear" adjustColumnWidth="0" connectionId="51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GetCFData4PA.cfm?BU=0&amp;AcctCode=0_346" growShrinkType="overwriteClear" adjustColumnWidth="0" connectionId="14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GetCFData4PA2.cfm?BU=0&amp;SpeedKey=0_74" growShrinkType="overwriteClear" adjustColumnWidth="0" connectionId="69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GetCFData4PA2.cfm?BU=0&amp;SpeedKey=0_174" growShrinkType="overwriteClear" adjustColumnWidth="0" connectionId="81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GetCFData4PA.cfm?BU=0&amp;AcctCode=0_455" growShrinkType="overwriteClear" adjustColumnWidth="0" connectionId="41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GetCFData4PA.cfm?BU=0&amp;AcctCode=0_324" growShrinkType="overwriteClear" adjustColumnWidth="0" connectionId="16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GetCFData4PA.cfm?BU=UMWOR&amp;AcctCode=W102836_81" growShrinkType="overwriteClear" adjustColumnWidth="0" connectionId="52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GetCFData4PA2.cfm?BU=0&amp;SpeedKey=0_185" growShrinkType="overwriteClear" adjustColumnWidth="0" connectionId="82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GetCFData4PA2.cfm?BU=0&amp;SpeedKey=0_24" growShrinkType="overwriteClear" adjustColumnWidth="0" connectionId="64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GetCFData4PA.cfm?BU=0&amp;AcctCode=0_206" growShrinkType="overwriteClear" adjustColumnWidth="0" connectionId="29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GetCFData4PA.cfm?BU=0&amp;AcctCode=0_303" growShrinkType="overwriteClear" adjustColumnWidth="0" connectionId="18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GetCFData4PA.cfm?BU=0&amp;AcctCode=0_378" growShrinkType="overwriteClear" adjustColumnWidth="0" connectionId="10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GetCFData4PA2.cfm?BU=0&amp;SpeedKey=0_297" growShrinkType="overwriteClear" adjustColumnWidth="0" connectionId="94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GetCFData4PA2.cfm?BU=0&amp;SpeedKey=0_170" growShrinkType="overwriteClear" adjustColumnWidth="0" connectionId="80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GetCFData4PA2.cfm?BU=0&amp;SpeedKey=0_357" growShrinkType="overwriteClear" adjustColumnWidth="0" connectionId="101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GetCFData4PA.cfm?BU=0&amp;AcctCode=0_21" growShrinkType="overwriteClear" adjustColumnWidth="0" connectionId="50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GetCFData4PA2.cfm?BU=0&amp;SpeedKey=0_154" growShrinkType="overwriteClear" adjustColumnWidth="0" connectionId="78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GetCFData4PA2.cfm?BU=0&amp;SpeedKey=0_288" growShrinkType="overwriteClear" adjustColumnWidth="0" connectionId="936"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GetCFData4PA.cfm?BU=UMWOR&amp;AcctCode=W102836_23" growShrinkType="overwriteClear" adjustColumnWidth="0" connectionId="59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GetCFData4PA2.cfm?BU=0&amp;SpeedKey=0_271" growShrinkType="overwriteClear" adjustColumnWidth="0" connectionId="91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GetCFData4PA2.cfm?BU=0&amp;SpeedKey=0_8" growShrinkType="overwriteClear" adjustColumnWidth="0" connectionId="62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GetCFData4PA.cfm?BU=0&amp;AcctCode=0_29" growShrinkType="overwriteClear" adjustColumnWidth="0" connectionId="492"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GetCFData4PA.cfm?BU=0&amp;AcctCode=0_114" growShrinkType="overwriteClear" adjustColumnWidth="0" connectionId="398"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GetCFData4PA2.cfm?BU=0&amp;SpeedKey=0_126" growShrinkType="overwriteClear" adjustColumnWidth="0" connectionId="75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GetCFData4PA.cfm?BU=0&amp;AcctCode=0_193" growShrinkType="overwriteClear" adjustColumnWidth="0" connectionId="31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GetCFData4PA.cfm?BU=0&amp;AcctCode=0_267" growShrinkType="overwriteClear" adjustColumnWidth="0" connectionId="22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GetCFData4PA.cfm?BU=0&amp;AcctCode=0_380" growShrinkType="overwriteClear" adjustColumnWidth="0" connectionId="10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GetCFData4PA.cfm?BU=0&amp;AcctCode=0_270" growShrinkType="overwriteClear" adjustColumnWidth="0" connectionId="22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GetCFData4PA2.cfm?BU=0&amp;SpeedKey=0_341" growShrinkType="overwriteClear" adjustColumnWidth="0" connectionId="99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GetCFData4PA2.cfm?BU=0&amp;SpeedKey=0_115" growShrinkType="overwriteClear" adjustColumnWidth="0" connectionId="74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GetCFData4PA2.cfm?BU=0&amp;SpeedKey=0_251" growShrinkType="overwriteClear" adjustColumnWidth="0" connectionId="89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GetCFData4PA.cfm?BU=0&amp;AcctCode=0_90" growShrinkType="overwriteClear" adjustColumnWidth="0" connectionId="42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GetCFData4PA2.cfm?BU=0&amp;SpeedKey=0_500" growShrinkType="overwriteClear" adjustColumnWidth="0" connectionId="9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GetCFData4PA.cfm?BU=0&amp;AcctCode=0_486" growShrinkType="overwriteClear" adjustColumnWidth="0" connectionId="97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GetCFData4PA.cfm?BU=0&amp;AcctCode=0_287" growShrinkType="overwriteClear" adjustColumnWidth="0" connectionId="20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GetCFData4PA2.cfm?BU=0&amp;SpeedKey=0_501" growShrinkType="overwriteClear" adjustColumnWidth="0" connectionId="9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GetCFData4PA2.cfm?BU=0&amp;SpeedKey=0_469" growShrinkType="overwriteClear" adjustColumnWidth="0" connectionId="5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GetCFData4PA2.cfm?BU=0&amp;SpeedKey=0_21" growShrinkType="overwriteClear" adjustColumnWidth="0" connectionId="63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GetCFData4PA2.cfm?BU=0&amp;SpeedKey=0_388" growShrinkType="overwriteClear" adjustColumnWidth="0" connectionId="104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GetCFData4PA.cfm?BU=0&amp;AcctCode=0_183" growShrinkType="overwriteClear" adjustColumnWidth="0" connectionId="32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GetCFData4PA.cfm?BU=0&amp;AcctCode=0_410" growShrinkType="overwriteClear" adjustColumnWidth="0" connectionId="91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GetCFData4PA.cfm?BU=UMWOR&amp;AcctCode=W102836_59" growShrinkType="overwriteClear" adjustColumnWidth="0" connectionId="55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GetCFData4PA.cfm?BU=UMWOR&amp;AcctCode=W123456_1" growShrinkType="overwriteClear" adjustColumnWidth="0" connectionId="620" autoFormatId="16" applyNumberFormats="0" applyBorderFormats="0" applyFontFormats="1" applyPatternFormats="1" applyAlignmentFormats="0" applyWidthHeightFormats="0"/>
</file>

<file path=xl/tables/table1.xml><?xml version="1.0" encoding="utf-8"?>
<table xmlns="http://schemas.openxmlformats.org/spreadsheetml/2006/main" id="1" name="List12" displayName="List12" ref="AA1:AA21" totalsRowShown="0" headerRowDxfId="11" dataDxfId="10">
  <autoFilter ref="AA1:AA21"/>
  <tableColumns count="1">
    <tableColumn id="1" name="UMAMH" dataDxfId="9"/>
  </tableColumns>
  <tableStyleInfo showFirstColumn="0" showLastColumn="0" showRowStripes="1" showColumnStripes="0"/>
</table>
</file>

<file path=xl/tables/table2.xml><?xml version="1.0" encoding="utf-8"?>
<table xmlns="http://schemas.openxmlformats.org/spreadsheetml/2006/main" id="2" name="List23" displayName="List23" ref="AD1:AD2" totalsRowShown="0" headerRowDxfId="8" dataDxfId="7">
  <autoFilter ref="AD1:AD2"/>
  <tableColumns count="1">
    <tableColumn id="1" name="ACTUALS" dataDxfId="6"/>
  </tableColumns>
  <tableStyleInfo showFirstColumn="0" showLastColumn="0" showRowStripes="1" showColumnStripes="0"/>
</table>
</file>

<file path=xl/tables/table3.xml><?xml version="1.0" encoding="utf-8"?>
<table xmlns="http://schemas.openxmlformats.org/spreadsheetml/2006/main" id="7" name="List38" displayName="List38" ref="AF1:AF4" totalsRowShown="0" headerRowDxfId="5" dataDxfId="4">
  <autoFilter ref="AF1:AF4"/>
  <tableColumns count="1">
    <tableColumn id="1" name="N - Do Not Generate Reversal" dataDxfId="3"/>
  </tableColumns>
  <tableStyleInfo showFirstColumn="0" showLastColumn="0" showRowStripes="1" showColumnStripes="0"/>
</table>
</file>

<file path=xl/tables/table4.xml><?xml version="1.0" encoding="utf-8"?>
<table xmlns="http://schemas.openxmlformats.org/spreadsheetml/2006/main" id="8" name="List49" displayName="List49" ref="AH1:AH4" totalsRowShown="0" headerRowDxfId="2" dataDxfId="1">
  <autoFilter ref="AH1:AH4"/>
  <tableColumns count="1">
    <tableColumn id="1" name="GL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acoga@umass.edu" TargetMode="External"/><Relationship Id="rId1" Type="http://schemas.openxmlformats.org/officeDocument/2006/relationships/hyperlink" Target="mailto:acoga@umass.edu"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922" Type="http://schemas.openxmlformats.org/officeDocument/2006/relationships/queryTable" Target="../queryTables/queryTable922.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964" Type="http://schemas.openxmlformats.org/officeDocument/2006/relationships/queryTable" Target="../queryTables/queryTable96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051" Type="http://schemas.openxmlformats.org/officeDocument/2006/relationships/queryTable" Target="../queryTables/queryTable1051.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933" Type="http://schemas.openxmlformats.org/officeDocument/2006/relationships/queryTable" Target="../queryTables/queryTable933.xml"/><Relationship Id="rId975" Type="http://schemas.openxmlformats.org/officeDocument/2006/relationships/queryTable" Target="../queryTables/queryTable975.xml"/><Relationship Id="rId1009" Type="http://schemas.openxmlformats.org/officeDocument/2006/relationships/queryTable" Target="../queryTables/queryTable1009.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020" Type="http://schemas.openxmlformats.org/officeDocument/2006/relationships/queryTable" Target="../queryTables/queryTable1020.xml"/><Relationship Id="rId1062" Type="http://schemas.openxmlformats.org/officeDocument/2006/relationships/queryTable" Target="../queryTables/queryTable1062.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986" Type="http://schemas.openxmlformats.org/officeDocument/2006/relationships/queryTable" Target="../queryTables/queryTable986.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1031" Type="http://schemas.openxmlformats.org/officeDocument/2006/relationships/queryTable" Target="../queryTables/queryTable1031.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997" Type="http://schemas.openxmlformats.org/officeDocument/2006/relationships/queryTable" Target="../queryTables/queryTable99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42" Type="http://schemas.openxmlformats.org/officeDocument/2006/relationships/queryTable" Target="../queryTables/queryTable104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1011" Type="http://schemas.openxmlformats.org/officeDocument/2006/relationships/queryTable" Target="../queryTables/queryTable1011.xml"/><Relationship Id="rId1053" Type="http://schemas.openxmlformats.org/officeDocument/2006/relationships/queryTable" Target="../queryTables/queryTable105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064" Type="http://schemas.openxmlformats.org/officeDocument/2006/relationships/queryTable" Target="../queryTables/queryTable106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U516"/>
  <sheetViews>
    <sheetView showGridLines="0" tabSelected="1" zoomScaleNormal="100" workbookViewId="0">
      <pane ySplit="15" topLeftCell="A16" activePane="bottomLeft" state="frozen"/>
      <selection pane="bottomLeft" activeCell="D90" sqref="D90"/>
    </sheetView>
  </sheetViews>
  <sheetFormatPr defaultColWidth="9.140625" defaultRowHeight="12.75" x14ac:dyDescent="0.2"/>
  <cols>
    <col min="1" max="1" width="5" style="98" customWidth="1"/>
    <col min="2" max="2" width="8.5703125" style="113" customWidth="1"/>
    <col min="3" max="3" width="8" style="98" customWidth="1"/>
    <col min="4" max="4" width="8.42578125" style="98" customWidth="1"/>
    <col min="5" max="5" width="7.85546875" style="98" customWidth="1"/>
    <col min="6" max="6" width="12" style="98" customWidth="1"/>
    <col min="7" max="7" width="9.140625" style="98" customWidth="1"/>
    <col min="8" max="8" width="7.7109375" style="98" customWidth="1"/>
    <col min="9" max="9" width="16.7109375" style="98" bestFit="1" customWidth="1"/>
    <col min="10" max="10" width="9.5703125" style="98" bestFit="1" customWidth="1"/>
    <col min="11" max="11" width="17" style="98" customWidth="1"/>
    <col min="12" max="12" width="21.7109375" style="98" customWidth="1"/>
    <col min="13" max="13" width="15.42578125" style="98" bestFit="1" customWidth="1"/>
    <col min="14" max="14" width="11.28515625" style="98" customWidth="1"/>
    <col min="15" max="15" width="10.5703125" style="98" customWidth="1"/>
    <col min="16" max="16" width="9.5703125" style="98" customWidth="1"/>
    <col min="17" max="17" width="13.7109375" style="98" customWidth="1"/>
    <col min="18" max="18" width="11" style="98" customWidth="1"/>
    <col min="19" max="19" width="12.7109375" style="3" hidden="1" customWidth="1"/>
    <col min="20" max="20" width="6.42578125" style="3" hidden="1" customWidth="1"/>
    <col min="21" max="21" width="12.28515625" style="3" hidden="1" customWidth="1"/>
    <col min="22" max="16384" width="9.140625" style="98"/>
  </cols>
  <sheetData>
    <row r="1" spans="1:21" x14ac:dyDescent="0.2">
      <c r="B1" s="99"/>
      <c r="C1" s="100"/>
      <c r="D1" s="100"/>
      <c r="E1" s="100"/>
      <c r="F1" s="100"/>
      <c r="G1" s="100"/>
      <c r="H1" s="100"/>
      <c r="I1" s="100"/>
      <c r="J1" s="100"/>
      <c r="K1" s="99"/>
      <c r="L1" s="99"/>
      <c r="M1" s="99"/>
    </row>
    <row r="2" spans="1:21" ht="19.5" customHeight="1" x14ac:dyDescent="0.2">
      <c r="B2" s="99"/>
      <c r="C2" s="100"/>
      <c r="D2" s="100"/>
      <c r="E2" s="100"/>
      <c r="F2" s="100"/>
      <c r="G2" s="100"/>
      <c r="H2" s="100"/>
      <c r="I2" s="100"/>
      <c r="J2" s="100"/>
      <c r="K2" s="99"/>
      <c r="L2" s="99"/>
      <c r="M2" s="99"/>
    </row>
    <row r="3" spans="1:21" s="101" customFormat="1" ht="19.5" customHeight="1" x14ac:dyDescent="0.2">
      <c r="B3" s="99"/>
      <c r="C3" s="100"/>
      <c r="D3" s="100"/>
      <c r="E3" s="100"/>
      <c r="F3" s="102"/>
      <c r="G3" s="102"/>
      <c r="H3" s="102"/>
      <c r="I3" s="100"/>
      <c r="J3" s="100"/>
      <c r="K3" s="99" t="s">
        <v>122</v>
      </c>
      <c r="L3" s="103" t="s">
        <v>289</v>
      </c>
      <c r="M3" s="103"/>
      <c r="N3" s="103"/>
      <c r="S3" s="13"/>
      <c r="T3" s="13"/>
      <c r="U3" s="13"/>
    </row>
    <row r="4" spans="1:21" s="101" customFormat="1" ht="19.5" customHeight="1" thickBot="1" x14ac:dyDescent="0.25">
      <c r="B4" s="99"/>
      <c r="C4" s="100"/>
      <c r="D4" s="100"/>
      <c r="E4" s="100"/>
      <c r="F4" s="100"/>
      <c r="G4" s="100"/>
      <c r="H4" s="100"/>
      <c r="I4" s="100"/>
      <c r="J4" s="100"/>
      <c r="K4" s="99" t="s">
        <v>123</v>
      </c>
      <c r="L4" s="103"/>
      <c r="M4" s="103"/>
      <c r="N4" s="103"/>
      <c r="S4" s="13"/>
      <c r="T4" s="13"/>
      <c r="U4" s="13"/>
    </row>
    <row r="5" spans="1:21" s="101" customFormat="1" ht="19.5" customHeight="1" thickBot="1" x14ac:dyDescent="0.25">
      <c r="B5" s="156" t="s">
        <v>152</v>
      </c>
      <c r="C5" s="157"/>
      <c r="D5" s="167"/>
      <c r="E5" s="168"/>
      <c r="F5" s="168"/>
      <c r="G5" s="168"/>
      <c r="H5" s="168"/>
      <c r="I5" s="169"/>
      <c r="J5" s="100"/>
      <c r="K5" s="99" t="s">
        <v>151</v>
      </c>
      <c r="L5" s="103"/>
      <c r="M5" s="103"/>
      <c r="N5" s="103"/>
      <c r="S5" s="13"/>
      <c r="T5" s="13"/>
      <c r="U5" s="13"/>
    </row>
    <row r="6" spans="1:21" s="101" customFormat="1" ht="19.5" customHeight="1" x14ac:dyDescent="0.2">
      <c r="B6" s="13" t="s">
        <v>175</v>
      </c>
      <c r="C6" s="158"/>
      <c r="D6" s="159"/>
      <c r="E6" s="158"/>
      <c r="F6" s="160" t="s">
        <v>171</v>
      </c>
      <c r="G6" s="158"/>
      <c r="H6" s="158"/>
      <c r="I6" s="158"/>
      <c r="J6" s="158"/>
      <c r="K6" s="2" t="s">
        <v>172</v>
      </c>
      <c r="L6" s="140" t="str">
        <f>D5&amp;"\"&amp;D10&amp;".prn"</f>
        <v>\ALS095.prn</v>
      </c>
      <c r="M6" s="140"/>
      <c r="N6" s="140"/>
      <c r="S6" s="13"/>
      <c r="T6" s="13"/>
      <c r="U6" s="13"/>
    </row>
    <row r="7" spans="1:21" s="101" customFormat="1" ht="6" customHeight="1" x14ac:dyDescent="0.2">
      <c r="B7" s="102"/>
      <c r="C7" s="104"/>
      <c r="D7" s="104"/>
      <c r="E7" s="104"/>
      <c r="F7" s="105"/>
      <c r="G7" s="104"/>
      <c r="H7" s="104"/>
      <c r="I7" s="104"/>
      <c r="J7" s="104"/>
      <c r="L7" s="106"/>
      <c r="M7" s="106"/>
      <c r="N7" s="106"/>
      <c r="S7" s="88"/>
      <c r="T7" s="88"/>
      <c r="U7" s="13"/>
    </row>
    <row r="8" spans="1:21" s="107" customFormat="1" ht="6" customHeight="1" thickBot="1" x14ac:dyDescent="0.25">
      <c r="B8" s="170"/>
      <c r="C8" s="170"/>
      <c r="D8" s="170"/>
      <c r="E8" s="170"/>
      <c r="F8" s="170"/>
      <c r="G8" s="170"/>
      <c r="H8" s="170"/>
      <c r="I8" s="170"/>
      <c r="J8" s="170"/>
      <c r="K8" s="170"/>
      <c r="L8" s="170"/>
      <c r="M8" s="170"/>
      <c r="N8" s="170"/>
      <c r="S8" s="87"/>
      <c r="T8" s="87"/>
      <c r="U8" s="86"/>
    </row>
    <row r="9" spans="1:21" ht="13.5" thickBot="1" x14ac:dyDescent="0.25">
      <c r="B9" s="185" t="s">
        <v>0</v>
      </c>
      <c r="C9" s="172"/>
      <c r="D9" s="171" t="s">
        <v>173</v>
      </c>
      <c r="E9" s="172"/>
      <c r="F9" s="141" t="s">
        <v>176</v>
      </c>
      <c r="G9" s="84"/>
      <c r="H9" s="84"/>
      <c r="I9" s="108"/>
      <c r="K9" s="109"/>
      <c r="L9" s="142" t="s">
        <v>153</v>
      </c>
      <c r="M9" s="143" t="s">
        <v>17</v>
      </c>
      <c r="S9" s="2"/>
    </row>
    <row r="10" spans="1:21" s="99" customFormat="1" x14ac:dyDescent="0.2">
      <c r="B10" s="183" t="s">
        <v>23</v>
      </c>
      <c r="C10" s="183"/>
      <c r="D10" s="173" t="s">
        <v>312</v>
      </c>
      <c r="E10" s="174"/>
      <c r="F10" s="91">
        <v>43741</v>
      </c>
      <c r="G10" s="84"/>
      <c r="H10" s="84"/>
      <c r="I10" s="110"/>
      <c r="K10" s="90"/>
      <c r="L10" s="124">
        <f>+L13+U13</f>
        <v>14392.58</v>
      </c>
      <c r="M10" s="144" t="str">
        <f>B10</f>
        <v>UMAMH</v>
      </c>
      <c r="S10" s="11"/>
      <c r="T10" s="2"/>
      <c r="U10" s="2">
        <f>CtrlTot * 100</f>
        <v>1439258</v>
      </c>
    </row>
    <row r="11" spans="1:21" s="99" customFormat="1" ht="6.75" customHeight="1" thickBot="1" x14ac:dyDescent="0.25">
      <c r="B11" s="84"/>
      <c r="C11" s="84"/>
      <c r="D11" s="84"/>
      <c r="E11" s="111"/>
      <c r="F11" s="90"/>
      <c r="G11" s="84"/>
      <c r="H11" s="84"/>
      <c r="I11" s="109"/>
      <c r="J11" s="109"/>
      <c r="K11" s="109"/>
      <c r="L11" s="109"/>
      <c r="M11" s="84"/>
      <c r="S11" s="11"/>
      <c r="T11" s="2"/>
      <c r="U11" s="2"/>
    </row>
    <row r="12" spans="1:21" s="99" customFormat="1" ht="13.5" thickBot="1" x14ac:dyDescent="0.25">
      <c r="A12" s="175" t="s">
        <v>179</v>
      </c>
      <c r="B12" s="176"/>
      <c r="C12" s="176"/>
      <c r="D12" s="176"/>
      <c r="E12" s="176"/>
      <c r="F12" s="176"/>
      <c r="G12" s="177"/>
      <c r="H12" s="181" t="s">
        <v>154</v>
      </c>
      <c r="I12" s="182"/>
      <c r="K12" s="145" t="s">
        <v>37</v>
      </c>
      <c r="L12" s="145" t="s">
        <v>32</v>
      </c>
      <c r="M12" s="145" t="s">
        <v>22</v>
      </c>
      <c r="N12" s="112"/>
      <c r="R12" s="125"/>
      <c r="S12" s="11"/>
      <c r="T12" s="2"/>
      <c r="U12" s="2" t="str">
        <f>TEXT(Total_Line_Number, "00000")</f>
        <v>00074</v>
      </c>
    </row>
    <row r="13" spans="1:21" s="99" customFormat="1" ht="15" customHeight="1" x14ac:dyDescent="0.2">
      <c r="A13" s="178" t="s">
        <v>294</v>
      </c>
      <c r="B13" s="179"/>
      <c r="C13" s="179"/>
      <c r="D13" s="179"/>
      <c r="E13" s="179"/>
      <c r="F13" s="179"/>
      <c r="G13" s="180"/>
      <c r="H13" s="183" t="s">
        <v>288</v>
      </c>
      <c r="I13" s="184"/>
      <c r="K13" s="9">
        <f>MAX(JrnlLn1)</f>
        <v>74</v>
      </c>
      <c r="L13" s="10">
        <f>ROUND(SUMIF(MonetaryAmount1, "&gt;0",MonetaryAmount1),2)</f>
        <v>7196.29</v>
      </c>
      <c r="M13" s="92">
        <f>ROUND(SUM(MonetaryAmount1),2)</f>
        <v>0</v>
      </c>
      <c r="N13" s="85"/>
      <c r="S13" s="11"/>
      <c r="T13" s="2"/>
      <c r="U13" s="2">
        <f>ROUND(SUMIF(MonetaryAmount1, "&lt;0",MonetaryAmount1),2)*-1</f>
        <v>7196.29</v>
      </c>
    </row>
    <row r="14" spans="1:21" ht="6.75" customHeight="1" thickBot="1" x14ac:dyDescent="0.25">
      <c r="C14" s="99"/>
      <c r="D14" s="99"/>
      <c r="E14" s="99"/>
      <c r="F14" s="106"/>
      <c r="G14" s="106"/>
      <c r="H14" s="106"/>
      <c r="I14" s="106"/>
      <c r="J14" s="106"/>
      <c r="K14" s="106"/>
      <c r="L14" s="106"/>
      <c r="M14" s="106"/>
      <c r="N14" s="106"/>
      <c r="O14" s="101"/>
      <c r="P14" s="101"/>
      <c r="S14" s="12"/>
    </row>
    <row r="15" spans="1:21" ht="39" thickBot="1" x14ac:dyDescent="0.25">
      <c r="A15" s="146" t="s">
        <v>38</v>
      </c>
      <c r="B15" s="147" t="s">
        <v>167</v>
      </c>
      <c r="C15" s="148" t="s">
        <v>166</v>
      </c>
      <c r="D15" s="148" t="s">
        <v>205</v>
      </c>
      <c r="E15" s="149" t="s">
        <v>165</v>
      </c>
      <c r="F15" s="149" t="s">
        <v>164</v>
      </c>
      <c r="G15" s="149" t="s">
        <v>163</v>
      </c>
      <c r="H15" s="149" t="s">
        <v>162</v>
      </c>
      <c r="I15" s="149" t="s">
        <v>161</v>
      </c>
      <c r="J15" s="150" t="s">
        <v>168</v>
      </c>
      <c r="K15" s="151" t="s">
        <v>169</v>
      </c>
      <c r="L15" s="152" t="s">
        <v>157</v>
      </c>
      <c r="M15" s="153" t="s">
        <v>158</v>
      </c>
      <c r="N15" s="154" t="s">
        <v>155</v>
      </c>
      <c r="O15" s="155" t="s">
        <v>160</v>
      </c>
      <c r="P15" s="153" t="s">
        <v>156</v>
      </c>
      <c r="Q15" s="153" t="s">
        <v>170</v>
      </c>
      <c r="R15" s="153" t="s">
        <v>159</v>
      </c>
      <c r="S15" s="126"/>
      <c r="T15" s="126"/>
      <c r="U15" s="89"/>
    </row>
    <row r="16" spans="1:21" s="101" customFormat="1" ht="15.95" customHeight="1" x14ac:dyDescent="0.2">
      <c r="A16" s="114">
        <v>1</v>
      </c>
      <c r="B16" s="93" t="s">
        <v>23</v>
      </c>
      <c r="C16" s="94" t="s">
        <v>286</v>
      </c>
      <c r="D16" s="94" t="s">
        <v>313</v>
      </c>
      <c r="E16" s="164" t="str">
        <f>IF('Web Links'!N2&lt;&gt;0,'Web Links'!N2,)</f>
        <v>53106</v>
      </c>
      <c r="F16" s="164" t="str">
        <f>'Web Links'!O2</f>
        <v>A090700034</v>
      </c>
      <c r="G16" s="165" t="str">
        <f>'Web Links'!P2</f>
        <v>B03</v>
      </c>
      <c r="H16" s="166" t="str">
        <f>'Web Links'!Q2</f>
        <v/>
      </c>
      <c r="I16" s="164" t="str">
        <f>'Web Links'!R2</f>
        <v>S12100000001075</v>
      </c>
      <c r="J16" s="95" t="s">
        <v>316</v>
      </c>
      <c r="K16" s="96">
        <v>67.5</v>
      </c>
      <c r="L16" s="97" t="s">
        <v>317</v>
      </c>
      <c r="M16" s="97" t="s">
        <v>291</v>
      </c>
      <c r="N16" s="115">
        <v>43633</v>
      </c>
      <c r="O16" s="116" t="s">
        <v>318</v>
      </c>
      <c r="P16" s="116" t="s">
        <v>312</v>
      </c>
      <c r="Q16" s="116"/>
      <c r="R16" s="116"/>
      <c r="S16" s="78">
        <f t="shared" ref="S16:S79" si="0">ROUND(ABS(K16),2)*100</f>
        <v>6750</v>
      </c>
      <c r="T16" s="78" t="str">
        <f t="shared" ref="T16:T79" si="1">IF(K16&gt;0,"D","C")</f>
        <v>D</v>
      </c>
      <c r="U16" s="83" t="str">
        <f t="shared" ref="U16:U79" si="2">B16&amp;C16&amp;D16&amp;E16&amp;F16&amp;G16&amp;H16&amp;I16&amp;J16&amp;K16&amp;L16&amp;N16</f>
        <v>UMAMH75308015530853106A090700034B03S12100000001075LM19111967.5Carter, Kenneth43633</v>
      </c>
    </row>
    <row r="17" spans="1:21" s="101" customFormat="1" ht="15.95" customHeight="1" x14ac:dyDescent="0.2">
      <c r="A17" s="118">
        <f t="shared" ref="A17:A80" si="3">IF(U17=""," ",A16+1)</f>
        <v>2</v>
      </c>
      <c r="B17" s="93" t="s">
        <v>23</v>
      </c>
      <c r="C17" s="94" t="s">
        <v>287</v>
      </c>
      <c r="D17" s="80" t="s">
        <v>292</v>
      </c>
      <c r="E17" s="161" t="str">
        <f>IF('Web Links'!N3&lt;&gt;0,'Web Links'!N3,)</f>
        <v>51511</v>
      </c>
      <c r="F17" s="161" t="str">
        <f>'Web Links'!O3</f>
        <v>A606363000</v>
      </c>
      <c r="G17" s="162" t="str">
        <f>'Web Links'!P3</f>
        <v>D06</v>
      </c>
      <c r="H17" s="163" t="str">
        <f>'Web Links'!Q3</f>
        <v/>
      </c>
      <c r="I17" s="161" t="str">
        <f>'Web Links'!R3</f>
        <v/>
      </c>
      <c r="J17" s="95" t="s">
        <v>316</v>
      </c>
      <c r="K17" s="82">
        <v>-67.5</v>
      </c>
      <c r="L17" s="97" t="s">
        <v>317</v>
      </c>
      <c r="M17" s="97" t="s">
        <v>291</v>
      </c>
      <c r="N17" s="115">
        <v>43633</v>
      </c>
      <c r="O17" s="116" t="s">
        <v>318</v>
      </c>
      <c r="P17" s="116" t="s">
        <v>312</v>
      </c>
      <c r="Q17" s="117"/>
      <c r="R17" s="117"/>
      <c r="S17" s="78">
        <f t="shared" si="0"/>
        <v>6750</v>
      </c>
      <c r="T17" s="78" t="str">
        <f t="shared" si="1"/>
        <v>C</v>
      </c>
      <c r="U17" s="83" t="str">
        <f t="shared" si="2"/>
        <v>UMAMH69990015522651511A606363000D06LM191119-67.5Carter, Kenneth43633</v>
      </c>
    </row>
    <row r="18" spans="1:21" s="101" customFormat="1" ht="15.95" customHeight="1" x14ac:dyDescent="0.2">
      <c r="A18" s="118">
        <v>3</v>
      </c>
      <c r="B18" s="93" t="s">
        <v>23</v>
      </c>
      <c r="C18" s="94" t="s">
        <v>286</v>
      </c>
      <c r="D18" s="80" t="s">
        <v>313</v>
      </c>
      <c r="E18" s="161" t="str">
        <f>IF('Web Links'!N4&lt;&gt;0,'Web Links'!N4,)</f>
        <v>53106</v>
      </c>
      <c r="F18" s="161" t="str">
        <f>'Web Links'!O4</f>
        <v>A090700034</v>
      </c>
      <c r="G18" s="162" t="str">
        <f>'Web Links'!P4</f>
        <v>B03</v>
      </c>
      <c r="H18" s="163" t="str">
        <f>'Web Links'!Q4</f>
        <v/>
      </c>
      <c r="I18" s="161" t="str">
        <f>'Web Links'!R4</f>
        <v>S12100000001075</v>
      </c>
      <c r="J18" s="95" t="s">
        <v>319</v>
      </c>
      <c r="K18" s="82">
        <v>247.5</v>
      </c>
      <c r="L18" s="97" t="s">
        <v>317</v>
      </c>
      <c r="M18" s="97" t="s">
        <v>291</v>
      </c>
      <c r="N18" s="115">
        <v>43662</v>
      </c>
      <c r="O18" s="116" t="s">
        <v>318</v>
      </c>
      <c r="P18" s="116" t="s">
        <v>312</v>
      </c>
      <c r="Q18" s="117"/>
      <c r="R18" s="117"/>
      <c r="S18" s="78">
        <f t="shared" si="0"/>
        <v>24750</v>
      </c>
      <c r="T18" s="78" t="str">
        <f t="shared" si="1"/>
        <v>D</v>
      </c>
      <c r="U18" s="83" t="str">
        <f t="shared" si="2"/>
        <v>UMAMH75308015530853106A090700034B03S12100000001075LM191123247.5Carter, Kenneth43662</v>
      </c>
    </row>
    <row r="19" spans="1:21" s="101" customFormat="1" ht="15.95" customHeight="1" x14ac:dyDescent="0.2">
      <c r="A19" s="118">
        <v>4</v>
      </c>
      <c r="B19" s="93" t="s">
        <v>23</v>
      </c>
      <c r="C19" s="94" t="s">
        <v>287</v>
      </c>
      <c r="D19" s="80" t="s">
        <v>292</v>
      </c>
      <c r="E19" s="161" t="str">
        <f>IF('Web Links'!N5&lt;&gt;0,'Web Links'!N5,)</f>
        <v>51511</v>
      </c>
      <c r="F19" s="161" t="str">
        <f>'Web Links'!O5</f>
        <v>A606363000</v>
      </c>
      <c r="G19" s="162" t="str">
        <f>'Web Links'!P5</f>
        <v>D06</v>
      </c>
      <c r="H19" s="163" t="str">
        <f>'Web Links'!Q5</f>
        <v/>
      </c>
      <c r="I19" s="161" t="str">
        <f>'Web Links'!R5</f>
        <v/>
      </c>
      <c r="J19" s="95" t="s">
        <v>319</v>
      </c>
      <c r="K19" s="82">
        <v>-247.5</v>
      </c>
      <c r="L19" s="97" t="s">
        <v>317</v>
      </c>
      <c r="M19" s="97" t="s">
        <v>291</v>
      </c>
      <c r="N19" s="115">
        <v>43662</v>
      </c>
      <c r="O19" s="116" t="s">
        <v>318</v>
      </c>
      <c r="P19" s="116" t="s">
        <v>312</v>
      </c>
      <c r="Q19" s="117"/>
      <c r="R19" s="117"/>
      <c r="S19" s="78">
        <f t="shared" si="0"/>
        <v>24750</v>
      </c>
      <c r="T19" s="78" t="str">
        <f t="shared" si="1"/>
        <v>C</v>
      </c>
      <c r="U19" s="83" t="str">
        <f t="shared" si="2"/>
        <v>UMAMH69990015522651511A606363000D06LM191123-247.5Carter, Kenneth43662</v>
      </c>
    </row>
    <row r="20" spans="1:21" s="101" customFormat="1" ht="15.95" customHeight="1" x14ac:dyDescent="0.2">
      <c r="A20" s="118">
        <v>5</v>
      </c>
      <c r="B20" s="93" t="s">
        <v>23</v>
      </c>
      <c r="C20" s="94" t="s">
        <v>286</v>
      </c>
      <c r="D20" s="94" t="s">
        <v>313</v>
      </c>
      <c r="E20" s="161" t="str">
        <f>IF('Web Links'!N6&lt;&gt;0,'Web Links'!N6,)</f>
        <v>53106</v>
      </c>
      <c r="F20" s="161" t="str">
        <f>'Web Links'!O6</f>
        <v>A090700034</v>
      </c>
      <c r="G20" s="162" t="str">
        <f>'Web Links'!P6</f>
        <v>B03</v>
      </c>
      <c r="H20" s="163" t="str">
        <f>'Web Links'!Q6</f>
        <v/>
      </c>
      <c r="I20" s="161" t="str">
        <f>'Web Links'!R6</f>
        <v>S12100000001075</v>
      </c>
      <c r="J20" s="81" t="s">
        <v>320</v>
      </c>
      <c r="K20" s="82">
        <v>307.5</v>
      </c>
      <c r="L20" s="97" t="s">
        <v>317</v>
      </c>
      <c r="M20" s="97" t="s">
        <v>291</v>
      </c>
      <c r="N20" s="115">
        <v>43662</v>
      </c>
      <c r="O20" s="116" t="s">
        <v>318</v>
      </c>
      <c r="P20" s="116" t="s">
        <v>312</v>
      </c>
      <c r="Q20" s="117"/>
      <c r="R20" s="117"/>
      <c r="S20" s="78">
        <f t="shared" si="0"/>
        <v>30750</v>
      </c>
      <c r="T20" s="78" t="str">
        <f t="shared" si="1"/>
        <v>D</v>
      </c>
      <c r="U20" s="83" t="str">
        <f t="shared" si="2"/>
        <v>UMAMH75308015530853106A090700034B03S12100000001075LM191178307.5Carter, Kenneth43662</v>
      </c>
    </row>
    <row r="21" spans="1:21" s="101" customFormat="1" ht="15.95" customHeight="1" x14ac:dyDescent="0.2">
      <c r="A21" s="118">
        <v>6</v>
      </c>
      <c r="B21" s="93" t="s">
        <v>23</v>
      </c>
      <c r="C21" s="94" t="s">
        <v>287</v>
      </c>
      <c r="D21" s="80" t="s">
        <v>292</v>
      </c>
      <c r="E21" s="161" t="str">
        <f>IF('Web Links'!N7&lt;&gt;0,'Web Links'!N7,)</f>
        <v>51511</v>
      </c>
      <c r="F21" s="161" t="str">
        <f>'Web Links'!O7</f>
        <v>A606363000</v>
      </c>
      <c r="G21" s="162" t="str">
        <f>'Web Links'!P7</f>
        <v>D06</v>
      </c>
      <c r="H21" s="163" t="str">
        <f>'Web Links'!Q7</f>
        <v/>
      </c>
      <c r="I21" s="161" t="str">
        <f>'Web Links'!R7</f>
        <v/>
      </c>
      <c r="J21" s="81" t="s">
        <v>320</v>
      </c>
      <c r="K21" s="82">
        <v>-307.5</v>
      </c>
      <c r="L21" s="97" t="s">
        <v>317</v>
      </c>
      <c r="M21" s="97" t="s">
        <v>291</v>
      </c>
      <c r="N21" s="115">
        <v>43662</v>
      </c>
      <c r="O21" s="116" t="s">
        <v>318</v>
      </c>
      <c r="P21" s="116" t="s">
        <v>312</v>
      </c>
      <c r="Q21" s="117"/>
      <c r="R21" s="117"/>
      <c r="S21" s="78">
        <f t="shared" si="0"/>
        <v>30750</v>
      </c>
      <c r="T21" s="78" t="str">
        <f t="shared" si="1"/>
        <v>C</v>
      </c>
      <c r="U21" s="83" t="str">
        <f t="shared" si="2"/>
        <v>UMAMH69990015522651511A606363000D06LM191178-307.5Carter, Kenneth43662</v>
      </c>
    </row>
    <row r="22" spans="1:21" s="101" customFormat="1" ht="15.95" customHeight="1" x14ac:dyDescent="0.2">
      <c r="A22" s="118">
        <v>7</v>
      </c>
      <c r="B22" s="79" t="s">
        <v>23</v>
      </c>
      <c r="C22" s="94" t="s">
        <v>286</v>
      </c>
      <c r="D22" s="94" t="s">
        <v>321</v>
      </c>
      <c r="E22" s="161" t="str">
        <f>IF('Web Links'!N8&lt;&gt;0,'Web Links'!N8,)</f>
        <v>53106</v>
      </c>
      <c r="F22" s="161" t="str">
        <f>'Web Links'!O8</f>
        <v>A040100062</v>
      </c>
      <c r="G22" s="162" t="str">
        <f>'Web Links'!P8</f>
        <v>B03</v>
      </c>
      <c r="H22" s="163" t="str">
        <f>'Web Links'!Q8</f>
        <v/>
      </c>
      <c r="I22" s="161" t="str">
        <f>'Web Links'!R8</f>
        <v>S11110000044795</v>
      </c>
      <c r="J22" s="81" t="s">
        <v>324</v>
      </c>
      <c r="K22" s="82">
        <v>212.7</v>
      </c>
      <c r="L22" s="97" t="s">
        <v>325</v>
      </c>
      <c r="M22" s="97" t="s">
        <v>291</v>
      </c>
      <c r="N22" s="115">
        <v>43705</v>
      </c>
      <c r="O22" s="116" t="s">
        <v>301</v>
      </c>
      <c r="P22" s="116" t="s">
        <v>312</v>
      </c>
      <c r="Q22" s="117"/>
      <c r="R22" s="117"/>
      <c r="S22" s="78">
        <f t="shared" si="0"/>
        <v>21270</v>
      </c>
      <c r="T22" s="78" t="str">
        <f t="shared" si="1"/>
        <v>D</v>
      </c>
      <c r="U22" s="83" t="str">
        <f t="shared" si="2"/>
        <v>UMAMH75308017094053106A040100062B03S11110000044795LM191195212.7Maresca, Thomas43705</v>
      </c>
    </row>
    <row r="23" spans="1:21" s="101" customFormat="1" ht="15.95" customHeight="1" x14ac:dyDescent="0.2">
      <c r="A23" s="118">
        <v>8</v>
      </c>
      <c r="B23" s="79" t="s">
        <v>23</v>
      </c>
      <c r="C23" s="80" t="s">
        <v>287</v>
      </c>
      <c r="D23" s="80" t="s">
        <v>292</v>
      </c>
      <c r="E23" s="161" t="str">
        <f>IF('Web Links'!N9&lt;&gt;0,'Web Links'!N9,)</f>
        <v>51511</v>
      </c>
      <c r="F23" s="161" t="str">
        <f>'Web Links'!O9</f>
        <v>A606363000</v>
      </c>
      <c r="G23" s="162" t="str">
        <f>'Web Links'!P9</f>
        <v>D06</v>
      </c>
      <c r="H23" s="163" t="str">
        <f>'Web Links'!Q9</f>
        <v/>
      </c>
      <c r="I23" s="161" t="str">
        <f>'Web Links'!R9</f>
        <v/>
      </c>
      <c r="J23" s="81" t="s">
        <v>324</v>
      </c>
      <c r="K23" s="82">
        <v>-212.7</v>
      </c>
      <c r="L23" s="97" t="s">
        <v>325</v>
      </c>
      <c r="M23" s="97" t="s">
        <v>291</v>
      </c>
      <c r="N23" s="115">
        <v>43705</v>
      </c>
      <c r="O23" s="116" t="s">
        <v>301</v>
      </c>
      <c r="P23" s="116" t="s">
        <v>312</v>
      </c>
      <c r="Q23" s="117"/>
      <c r="R23" s="117"/>
      <c r="S23" s="78">
        <f t="shared" si="0"/>
        <v>21270</v>
      </c>
      <c r="T23" s="78" t="str">
        <f t="shared" si="1"/>
        <v>C</v>
      </c>
      <c r="U23" s="83" t="str">
        <f t="shared" si="2"/>
        <v>UMAMH69990015522651511A606363000D06LM191195-212.7Maresca, Thomas43705</v>
      </c>
    </row>
    <row r="24" spans="1:21" s="101" customFormat="1" ht="15.95" customHeight="1" x14ac:dyDescent="0.2">
      <c r="A24" s="118">
        <v>9</v>
      </c>
      <c r="B24" s="79" t="s">
        <v>23</v>
      </c>
      <c r="C24" s="94" t="s">
        <v>286</v>
      </c>
      <c r="D24" s="80" t="s">
        <v>326</v>
      </c>
      <c r="E24" s="161" t="str">
        <f>IF('Web Links'!N10&lt;&gt;0,'Web Links'!N10,)</f>
        <v>53106</v>
      </c>
      <c r="F24" s="161" t="str">
        <f>'Web Links'!O10</f>
        <v>A606321044</v>
      </c>
      <c r="G24" s="162" t="str">
        <f>'Web Links'!P10</f>
        <v>B03</v>
      </c>
      <c r="H24" s="163" t="str">
        <f>'Web Links'!Q10</f>
        <v/>
      </c>
      <c r="I24" s="161" t="str">
        <f>'Web Links'!R10</f>
        <v>S11110000000331</v>
      </c>
      <c r="J24" s="81" t="s">
        <v>329</v>
      </c>
      <c r="K24" s="82">
        <v>1000.05</v>
      </c>
      <c r="L24" s="7" t="s">
        <v>330</v>
      </c>
      <c r="M24" s="97" t="s">
        <v>291</v>
      </c>
      <c r="N24" s="115">
        <v>43705</v>
      </c>
      <c r="O24" s="116" t="s">
        <v>331</v>
      </c>
      <c r="P24" s="116" t="s">
        <v>312</v>
      </c>
      <c r="Q24" s="117"/>
      <c r="R24" s="117"/>
      <c r="S24" s="78">
        <f t="shared" si="0"/>
        <v>100005</v>
      </c>
      <c r="T24" s="78" t="str">
        <f t="shared" si="1"/>
        <v>D</v>
      </c>
      <c r="U24" s="83" t="str">
        <f t="shared" si="2"/>
        <v>UMAMH75308016349253106A606321044B03S11110000000331LM2000371000.05Serio, Tricia43705</v>
      </c>
    </row>
    <row r="25" spans="1:21" s="101" customFormat="1" ht="15.95" customHeight="1" x14ac:dyDescent="0.2">
      <c r="A25" s="118">
        <v>10</v>
      </c>
      <c r="B25" s="79" t="s">
        <v>23</v>
      </c>
      <c r="C25" s="80" t="s">
        <v>287</v>
      </c>
      <c r="D25" s="80" t="s">
        <v>292</v>
      </c>
      <c r="E25" s="161" t="str">
        <f>IF('Web Links'!N11&lt;&gt;0,'Web Links'!N11,)</f>
        <v>51511</v>
      </c>
      <c r="F25" s="161" t="str">
        <f>'Web Links'!O11</f>
        <v>A606363000</v>
      </c>
      <c r="G25" s="162" t="str">
        <f>'Web Links'!P11</f>
        <v>D06</v>
      </c>
      <c r="H25" s="163" t="str">
        <f>'Web Links'!Q11</f>
        <v/>
      </c>
      <c r="I25" s="161" t="str">
        <f>'Web Links'!R11</f>
        <v/>
      </c>
      <c r="J25" s="81" t="s">
        <v>329</v>
      </c>
      <c r="K25" s="82">
        <v>-1000.05</v>
      </c>
      <c r="L25" s="7" t="s">
        <v>330</v>
      </c>
      <c r="M25" s="97" t="s">
        <v>291</v>
      </c>
      <c r="N25" s="115">
        <v>43705</v>
      </c>
      <c r="O25" s="116" t="s">
        <v>331</v>
      </c>
      <c r="P25" s="116" t="s">
        <v>312</v>
      </c>
      <c r="Q25" s="117"/>
      <c r="R25" s="117"/>
      <c r="S25" s="78">
        <f t="shared" si="0"/>
        <v>100005</v>
      </c>
      <c r="T25" s="78" t="str">
        <f t="shared" si="1"/>
        <v>C</v>
      </c>
      <c r="U25" s="83" t="str">
        <f t="shared" si="2"/>
        <v>UMAMH69990015522651511A606363000D06LM200037-1000.05Serio, Tricia43705</v>
      </c>
    </row>
    <row r="26" spans="1:21" s="101" customFormat="1" ht="15.95" customHeight="1" x14ac:dyDescent="0.2">
      <c r="A26" s="118">
        <v>11</v>
      </c>
      <c r="B26" s="79" t="s">
        <v>23</v>
      </c>
      <c r="C26" s="94" t="s">
        <v>286</v>
      </c>
      <c r="D26" s="80" t="s">
        <v>332</v>
      </c>
      <c r="E26" s="161" t="str">
        <f>IF('Web Links'!N12&lt;&gt;0,'Web Links'!N12,)</f>
        <v>53106</v>
      </c>
      <c r="F26" s="161" t="str">
        <f>'Web Links'!O12</f>
        <v>A040100033</v>
      </c>
      <c r="G26" s="162" t="str">
        <f>'Web Links'!P12</f>
        <v>B03</v>
      </c>
      <c r="H26" s="163" t="str">
        <f>'Web Links'!Q12</f>
        <v/>
      </c>
      <c r="I26" s="161" t="str">
        <f>'Web Links'!R12</f>
        <v>S12100000001358</v>
      </c>
      <c r="J26" s="81" t="s">
        <v>335</v>
      </c>
      <c r="K26" s="82">
        <v>162.30000000000001</v>
      </c>
      <c r="L26" s="7" t="s">
        <v>336</v>
      </c>
      <c r="M26" s="97" t="s">
        <v>291</v>
      </c>
      <c r="N26" s="119">
        <v>43705</v>
      </c>
      <c r="O26" s="116" t="s">
        <v>301</v>
      </c>
      <c r="P26" s="116" t="s">
        <v>312</v>
      </c>
      <c r="Q26" s="117"/>
      <c r="R26" s="117"/>
      <c r="S26" s="78">
        <f t="shared" si="0"/>
        <v>16230.000000000002</v>
      </c>
      <c r="T26" s="78" t="str">
        <f t="shared" si="1"/>
        <v>D</v>
      </c>
      <c r="U26" s="83" t="str">
        <f t="shared" si="2"/>
        <v>UMAMH75308016559453106A040100033B03S12100000001358LM200049162.3Wadsworth, Patricia43705</v>
      </c>
    </row>
    <row r="27" spans="1:21" s="101" customFormat="1" ht="15.95" customHeight="1" x14ac:dyDescent="0.2">
      <c r="A27" s="118">
        <v>12</v>
      </c>
      <c r="B27" s="79" t="s">
        <v>23</v>
      </c>
      <c r="C27" s="80" t="s">
        <v>287</v>
      </c>
      <c r="D27" s="80" t="s">
        <v>292</v>
      </c>
      <c r="E27" s="161" t="str">
        <f>IF('Web Links'!N13&lt;&gt;0,'Web Links'!N13,)</f>
        <v>51511</v>
      </c>
      <c r="F27" s="161" t="str">
        <f>'Web Links'!O13</f>
        <v>A606363000</v>
      </c>
      <c r="G27" s="162" t="str">
        <f>'Web Links'!P13</f>
        <v>D06</v>
      </c>
      <c r="H27" s="163" t="str">
        <f>'Web Links'!Q13</f>
        <v/>
      </c>
      <c r="I27" s="161" t="str">
        <f>'Web Links'!R13</f>
        <v/>
      </c>
      <c r="J27" s="81" t="s">
        <v>335</v>
      </c>
      <c r="K27" s="82">
        <v>-162.30000000000001</v>
      </c>
      <c r="L27" s="7" t="s">
        <v>336</v>
      </c>
      <c r="M27" s="97" t="s">
        <v>291</v>
      </c>
      <c r="N27" s="119">
        <v>43705</v>
      </c>
      <c r="O27" s="116" t="s">
        <v>301</v>
      </c>
      <c r="P27" s="116" t="s">
        <v>312</v>
      </c>
      <c r="Q27" s="117"/>
      <c r="R27" s="117"/>
      <c r="S27" s="78">
        <f t="shared" si="0"/>
        <v>16230.000000000002</v>
      </c>
      <c r="T27" s="78" t="str">
        <f t="shared" si="1"/>
        <v>C</v>
      </c>
      <c r="U27" s="83" t="str">
        <f t="shared" si="2"/>
        <v>UMAMH69990015522651511A606363000D06LM200049-162.3Wadsworth, Patricia43705</v>
      </c>
    </row>
    <row r="28" spans="1:21" s="101" customFormat="1" ht="15.95" customHeight="1" x14ac:dyDescent="0.2">
      <c r="A28" s="118">
        <v>13</v>
      </c>
      <c r="B28" s="79" t="s">
        <v>23</v>
      </c>
      <c r="C28" s="94" t="s">
        <v>286</v>
      </c>
      <c r="D28" s="80" t="s">
        <v>332</v>
      </c>
      <c r="E28" s="161" t="str">
        <f>IF('Web Links'!N14&lt;&gt;0,'Web Links'!N14,)</f>
        <v>53106</v>
      </c>
      <c r="F28" s="161" t="str">
        <f>'Web Links'!O14</f>
        <v>A040100033</v>
      </c>
      <c r="G28" s="162" t="str">
        <f>'Web Links'!P14</f>
        <v>B03</v>
      </c>
      <c r="H28" s="163" t="str">
        <f>'Web Links'!Q14</f>
        <v/>
      </c>
      <c r="I28" s="161" t="str">
        <f>'Web Links'!R14</f>
        <v>S12100000001358</v>
      </c>
      <c r="J28" s="81" t="s">
        <v>339</v>
      </c>
      <c r="K28" s="82">
        <v>251.7</v>
      </c>
      <c r="L28" s="7" t="s">
        <v>336</v>
      </c>
      <c r="M28" s="97" t="s">
        <v>291</v>
      </c>
      <c r="N28" s="119">
        <v>43705</v>
      </c>
      <c r="O28" s="116" t="s">
        <v>301</v>
      </c>
      <c r="P28" s="116" t="s">
        <v>312</v>
      </c>
      <c r="Q28" s="117"/>
      <c r="R28" s="117"/>
      <c r="S28" s="78">
        <f t="shared" si="0"/>
        <v>25170</v>
      </c>
      <c r="T28" s="78" t="str">
        <f t="shared" si="1"/>
        <v>D</v>
      </c>
      <c r="U28" s="83" t="str">
        <f t="shared" si="2"/>
        <v>UMAMH75308016559453106A040100033B03S12100000001358LM200050251.7Wadsworth, Patricia43705</v>
      </c>
    </row>
    <row r="29" spans="1:21" s="101" customFormat="1" ht="15.95" customHeight="1" x14ac:dyDescent="0.2">
      <c r="A29" s="118">
        <v>14</v>
      </c>
      <c r="B29" s="79" t="s">
        <v>23</v>
      </c>
      <c r="C29" s="80" t="s">
        <v>287</v>
      </c>
      <c r="D29" s="80" t="s">
        <v>292</v>
      </c>
      <c r="E29" s="161" t="str">
        <f>IF('Web Links'!N15&lt;&gt;0,'Web Links'!N15,)</f>
        <v>51511</v>
      </c>
      <c r="F29" s="161" t="str">
        <f>'Web Links'!O15</f>
        <v>A606363000</v>
      </c>
      <c r="G29" s="162" t="str">
        <f>'Web Links'!P15</f>
        <v>D06</v>
      </c>
      <c r="H29" s="163" t="str">
        <f>'Web Links'!Q15</f>
        <v/>
      </c>
      <c r="I29" s="161" t="str">
        <f>'Web Links'!R15</f>
        <v/>
      </c>
      <c r="J29" s="81" t="s">
        <v>339</v>
      </c>
      <c r="K29" s="82">
        <v>-251.7</v>
      </c>
      <c r="L29" s="7" t="s">
        <v>336</v>
      </c>
      <c r="M29" s="97" t="s">
        <v>291</v>
      </c>
      <c r="N29" s="119">
        <v>43705</v>
      </c>
      <c r="O29" s="116" t="s">
        <v>301</v>
      </c>
      <c r="P29" s="116" t="s">
        <v>312</v>
      </c>
      <c r="Q29" s="117"/>
      <c r="R29" s="117"/>
      <c r="S29" s="78">
        <f t="shared" si="0"/>
        <v>25170</v>
      </c>
      <c r="T29" s="78" t="str">
        <f t="shared" si="1"/>
        <v>C</v>
      </c>
      <c r="U29" s="83" t="str">
        <f t="shared" si="2"/>
        <v>UMAMH69990015522651511A606363000D06LM200050-251.7Wadsworth, Patricia43705</v>
      </c>
    </row>
    <row r="30" spans="1:21" s="101" customFormat="1" ht="15.95" customHeight="1" x14ac:dyDescent="0.2">
      <c r="A30" s="118">
        <v>15</v>
      </c>
      <c r="B30" s="79" t="s">
        <v>23</v>
      </c>
      <c r="C30" s="94" t="s">
        <v>286</v>
      </c>
      <c r="D30" s="80" t="s">
        <v>340</v>
      </c>
      <c r="E30" s="161" t="str">
        <f>IF('Web Links'!N16&lt;&gt;0,'Web Links'!N16,)</f>
        <v>51344</v>
      </c>
      <c r="F30" s="161" t="str">
        <f>'Web Links'!O16</f>
        <v>A010400045</v>
      </c>
      <c r="G30" s="162" t="str">
        <f>'Web Links'!P16</f>
        <v>A01</v>
      </c>
      <c r="H30" s="163" t="str">
        <f>'Web Links'!Q16</f>
        <v>E0820</v>
      </c>
      <c r="I30" s="161" t="str">
        <f>'Web Links'!R16</f>
        <v/>
      </c>
      <c r="J30" s="81" t="s">
        <v>343</v>
      </c>
      <c r="K30" s="82">
        <v>296.10000000000002</v>
      </c>
      <c r="L30" s="7" t="s">
        <v>344</v>
      </c>
      <c r="M30" s="97" t="s">
        <v>291</v>
      </c>
      <c r="N30" s="119">
        <v>43733</v>
      </c>
      <c r="O30" s="116" t="s">
        <v>345</v>
      </c>
      <c r="P30" s="116" t="s">
        <v>312</v>
      </c>
      <c r="Q30" s="117"/>
      <c r="R30" s="117"/>
      <c r="S30" s="78">
        <f t="shared" si="0"/>
        <v>29610.000000000004</v>
      </c>
      <c r="T30" s="78" t="str">
        <f t="shared" si="1"/>
        <v>D</v>
      </c>
      <c r="U30" s="83" t="str">
        <f t="shared" si="2"/>
        <v>UMAMH75308016305251344A010400045A01E0820LM200063296.1Cui, Wei43733</v>
      </c>
    </row>
    <row r="31" spans="1:21" s="101" customFormat="1" ht="15.95" customHeight="1" x14ac:dyDescent="0.2">
      <c r="A31" s="118">
        <v>16</v>
      </c>
      <c r="B31" s="79" t="s">
        <v>23</v>
      </c>
      <c r="C31" s="80" t="s">
        <v>287</v>
      </c>
      <c r="D31" s="80" t="s">
        <v>292</v>
      </c>
      <c r="E31" s="161" t="str">
        <f>IF('Web Links'!N17&lt;&gt;0,'Web Links'!N17,)</f>
        <v>51511</v>
      </c>
      <c r="F31" s="161" t="str">
        <f>'Web Links'!O17</f>
        <v>A606363000</v>
      </c>
      <c r="G31" s="162" t="str">
        <f>'Web Links'!P17</f>
        <v>D06</v>
      </c>
      <c r="H31" s="163" t="str">
        <f>'Web Links'!Q17</f>
        <v/>
      </c>
      <c r="I31" s="161" t="str">
        <f>'Web Links'!R17</f>
        <v/>
      </c>
      <c r="J31" s="81" t="s">
        <v>343</v>
      </c>
      <c r="K31" s="82">
        <v>-296.10000000000002</v>
      </c>
      <c r="L31" s="7" t="s">
        <v>344</v>
      </c>
      <c r="M31" s="97" t="s">
        <v>291</v>
      </c>
      <c r="N31" s="119">
        <v>43733</v>
      </c>
      <c r="O31" s="116" t="s">
        <v>345</v>
      </c>
      <c r="P31" s="116" t="s">
        <v>312</v>
      </c>
      <c r="Q31" s="117"/>
      <c r="R31" s="117"/>
      <c r="S31" s="78">
        <f t="shared" si="0"/>
        <v>29610.000000000004</v>
      </c>
      <c r="T31" s="78" t="str">
        <f t="shared" si="1"/>
        <v>C</v>
      </c>
      <c r="U31" s="83" t="str">
        <f t="shared" si="2"/>
        <v>UMAMH69990015522651511A606363000D06LM200063-296.1Cui, Wei43733</v>
      </c>
    </row>
    <row r="32" spans="1:21" s="101" customFormat="1" ht="15.95" customHeight="1" x14ac:dyDescent="0.2">
      <c r="A32" s="118">
        <v>17</v>
      </c>
      <c r="B32" s="79" t="s">
        <v>23</v>
      </c>
      <c r="C32" s="94" t="s">
        <v>286</v>
      </c>
      <c r="D32" s="80" t="s">
        <v>346</v>
      </c>
      <c r="E32" s="161" t="str">
        <f>IF('Web Links'!N18&lt;&gt;0,'Web Links'!N18,)</f>
        <v>53105</v>
      </c>
      <c r="F32" s="161" t="str">
        <f>'Web Links'!O18</f>
        <v>A040100097</v>
      </c>
      <c r="G32" s="162" t="str">
        <f>'Web Links'!P18</f>
        <v>B03</v>
      </c>
      <c r="H32" s="163" t="str">
        <f>'Web Links'!Q18</f>
        <v/>
      </c>
      <c r="I32" s="161" t="str">
        <f>'Web Links'!R18</f>
        <v>S12100000001379</v>
      </c>
      <c r="J32" s="81" t="s">
        <v>349</v>
      </c>
      <c r="K32" s="82">
        <v>126.45</v>
      </c>
      <c r="L32" s="7" t="s">
        <v>350</v>
      </c>
      <c r="M32" s="97" t="s">
        <v>291</v>
      </c>
      <c r="N32" s="119">
        <v>43733</v>
      </c>
      <c r="O32" s="116" t="s">
        <v>301</v>
      </c>
      <c r="P32" s="116" t="s">
        <v>312</v>
      </c>
      <c r="Q32" s="117"/>
      <c r="R32" s="117"/>
      <c r="S32" s="78">
        <f t="shared" si="0"/>
        <v>12645</v>
      </c>
      <c r="T32" s="78" t="str">
        <f t="shared" si="1"/>
        <v>D</v>
      </c>
      <c r="U32" s="83" t="str">
        <f t="shared" si="2"/>
        <v>UMAMH75308016667853105A040100097B03S12100000001379LM200064126.45Facette, Michelle43733</v>
      </c>
    </row>
    <row r="33" spans="1:21" s="101" customFormat="1" ht="15.95" customHeight="1" x14ac:dyDescent="0.2">
      <c r="A33" s="118">
        <v>18</v>
      </c>
      <c r="B33" s="79" t="s">
        <v>23</v>
      </c>
      <c r="C33" s="80" t="s">
        <v>287</v>
      </c>
      <c r="D33" s="80" t="s">
        <v>292</v>
      </c>
      <c r="E33" s="161" t="str">
        <f>IF('Web Links'!N19&lt;&gt;0,'Web Links'!N19,)</f>
        <v>51511</v>
      </c>
      <c r="F33" s="161" t="str">
        <f>'Web Links'!O19</f>
        <v>A606363000</v>
      </c>
      <c r="G33" s="162" t="str">
        <f>'Web Links'!P19</f>
        <v>D06</v>
      </c>
      <c r="H33" s="163" t="str">
        <f>'Web Links'!Q19</f>
        <v/>
      </c>
      <c r="I33" s="161" t="str">
        <f>'Web Links'!R19</f>
        <v/>
      </c>
      <c r="J33" s="81" t="s">
        <v>349</v>
      </c>
      <c r="K33" s="82">
        <v>-126.45</v>
      </c>
      <c r="L33" s="7" t="s">
        <v>350</v>
      </c>
      <c r="M33" s="97" t="s">
        <v>291</v>
      </c>
      <c r="N33" s="119">
        <v>43733</v>
      </c>
      <c r="O33" s="116" t="s">
        <v>301</v>
      </c>
      <c r="P33" s="116" t="s">
        <v>312</v>
      </c>
      <c r="Q33" s="117"/>
      <c r="R33" s="117"/>
      <c r="S33" s="78">
        <f t="shared" si="0"/>
        <v>12645</v>
      </c>
      <c r="T33" s="78" t="str">
        <f t="shared" si="1"/>
        <v>C</v>
      </c>
      <c r="U33" s="83" t="str">
        <f t="shared" si="2"/>
        <v>UMAMH69990015522651511A606363000D06LM200064-126.45Facette, Michelle43733</v>
      </c>
    </row>
    <row r="34" spans="1:21" s="101" customFormat="1" ht="15.95" customHeight="1" x14ac:dyDescent="0.2">
      <c r="A34" s="118">
        <v>19</v>
      </c>
      <c r="B34" s="79" t="s">
        <v>23</v>
      </c>
      <c r="C34" s="94" t="s">
        <v>286</v>
      </c>
      <c r="D34" s="80" t="s">
        <v>351</v>
      </c>
      <c r="E34" s="161" t="str">
        <f>IF('Web Links'!N20&lt;&gt;0,'Web Links'!N20,)</f>
        <v>53415</v>
      </c>
      <c r="F34" s="161" t="str">
        <f>'Web Links'!O20</f>
        <v>A090700036</v>
      </c>
      <c r="G34" s="162" t="str">
        <f>'Web Links'!P20</f>
        <v>B03</v>
      </c>
      <c r="H34" s="163" t="str">
        <f>'Web Links'!Q20</f>
        <v/>
      </c>
      <c r="I34" s="161" t="str">
        <f>'Web Links'!R20</f>
        <v>S19110000000067</v>
      </c>
      <c r="J34" s="81" t="s">
        <v>354</v>
      </c>
      <c r="K34" s="82">
        <v>44.33</v>
      </c>
      <c r="L34" s="7" t="s">
        <v>355</v>
      </c>
      <c r="M34" s="97" t="s">
        <v>291</v>
      </c>
      <c r="N34" s="119">
        <v>43733</v>
      </c>
      <c r="O34" s="116" t="s">
        <v>318</v>
      </c>
      <c r="P34" s="116" t="s">
        <v>312</v>
      </c>
      <c r="Q34" s="117"/>
      <c r="R34" s="117"/>
      <c r="S34" s="78">
        <f t="shared" si="0"/>
        <v>4433</v>
      </c>
      <c r="T34" s="78" t="str">
        <f t="shared" si="1"/>
        <v>D</v>
      </c>
      <c r="U34" s="83" t="str">
        <f t="shared" si="2"/>
        <v>UMAMH75308016644153415A090700036B03S19110000000067LM20006944.33Hayward, Ryan43733</v>
      </c>
    </row>
    <row r="35" spans="1:21" s="101" customFormat="1" ht="15.95" customHeight="1" x14ac:dyDescent="0.2">
      <c r="A35" s="118">
        <v>20</v>
      </c>
      <c r="B35" s="79" t="s">
        <v>23</v>
      </c>
      <c r="C35" s="80" t="s">
        <v>287</v>
      </c>
      <c r="D35" s="80" t="s">
        <v>292</v>
      </c>
      <c r="E35" s="161" t="str">
        <f>IF('Web Links'!N21&lt;&gt;0,'Web Links'!N21,)</f>
        <v>51511</v>
      </c>
      <c r="F35" s="161" t="str">
        <f>'Web Links'!O21</f>
        <v>A606363000</v>
      </c>
      <c r="G35" s="162" t="str">
        <f>'Web Links'!P21</f>
        <v>D06</v>
      </c>
      <c r="H35" s="163" t="str">
        <f>'Web Links'!Q21</f>
        <v/>
      </c>
      <c r="I35" s="161" t="str">
        <f>'Web Links'!R21</f>
        <v/>
      </c>
      <c r="J35" s="81" t="s">
        <v>354</v>
      </c>
      <c r="K35" s="82">
        <v>-44.33</v>
      </c>
      <c r="L35" s="7" t="s">
        <v>355</v>
      </c>
      <c r="M35" s="97" t="s">
        <v>291</v>
      </c>
      <c r="N35" s="119">
        <v>43733</v>
      </c>
      <c r="O35" s="116" t="s">
        <v>318</v>
      </c>
      <c r="P35" s="116" t="s">
        <v>312</v>
      </c>
      <c r="Q35" s="117"/>
      <c r="R35" s="117"/>
      <c r="S35" s="78">
        <f t="shared" si="0"/>
        <v>4433</v>
      </c>
      <c r="T35" s="78" t="str">
        <f t="shared" si="1"/>
        <v>C</v>
      </c>
      <c r="U35" s="83" t="str">
        <f t="shared" si="2"/>
        <v>UMAMH69990015522651511A606363000D06LM200069-44.33Hayward, Ryan43733</v>
      </c>
    </row>
    <row r="36" spans="1:21" s="101" customFormat="1" ht="15.95" customHeight="1" x14ac:dyDescent="0.2">
      <c r="A36" s="118">
        <v>21</v>
      </c>
      <c r="B36" s="79" t="s">
        <v>23</v>
      </c>
      <c r="C36" s="94" t="s">
        <v>286</v>
      </c>
      <c r="D36" s="80" t="s">
        <v>356</v>
      </c>
      <c r="E36" s="161" t="str">
        <f>IF('Web Links'!N22&lt;&gt;0,'Web Links'!N22,)</f>
        <v>52132</v>
      </c>
      <c r="F36" s="161" t="str">
        <f>'Web Links'!O22</f>
        <v>A040100058</v>
      </c>
      <c r="G36" s="162" t="str">
        <f>'Web Links'!P22</f>
        <v>A01</v>
      </c>
      <c r="H36" s="163" t="str">
        <f>'Web Links'!Q22</f>
        <v/>
      </c>
      <c r="I36" s="161" t="str">
        <f>'Web Links'!R22</f>
        <v/>
      </c>
      <c r="J36" s="81" t="s">
        <v>358</v>
      </c>
      <c r="K36" s="82">
        <v>7.5</v>
      </c>
      <c r="L36" s="7" t="s">
        <v>359</v>
      </c>
      <c r="M36" s="97" t="s">
        <v>291</v>
      </c>
      <c r="N36" s="119">
        <v>43733</v>
      </c>
      <c r="O36" s="117" t="s">
        <v>301</v>
      </c>
      <c r="P36" s="116" t="s">
        <v>312</v>
      </c>
      <c r="Q36" s="117"/>
      <c r="R36" s="117"/>
      <c r="S36" s="78">
        <f t="shared" si="0"/>
        <v>750</v>
      </c>
      <c r="T36" s="78" t="str">
        <f t="shared" si="1"/>
        <v>D</v>
      </c>
      <c r="U36" s="83" t="str">
        <f t="shared" si="2"/>
        <v>UMAMH75308013098952132A040100058A01LM2000707.5Hazen, Samuel43733</v>
      </c>
    </row>
    <row r="37" spans="1:21" s="101" customFormat="1" ht="15.95" customHeight="1" x14ac:dyDescent="0.2">
      <c r="A37" s="118">
        <v>22</v>
      </c>
      <c r="B37" s="79" t="s">
        <v>23</v>
      </c>
      <c r="C37" s="80" t="s">
        <v>287</v>
      </c>
      <c r="D37" s="80" t="s">
        <v>292</v>
      </c>
      <c r="E37" s="161" t="str">
        <f>IF('Web Links'!N23&lt;&gt;0,'Web Links'!N23,)</f>
        <v>51511</v>
      </c>
      <c r="F37" s="161" t="str">
        <f>'Web Links'!O23</f>
        <v>A606363000</v>
      </c>
      <c r="G37" s="162" t="str">
        <f>'Web Links'!P23</f>
        <v>D06</v>
      </c>
      <c r="H37" s="163" t="str">
        <f>'Web Links'!Q23</f>
        <v/>
      </c>
      <c r="I37" s="161" t="str">
        <f>'Web Links'!R23</f>
        <v/>
      </c>
      <c r="J37" s="81" t="s">
        <v>358</v>
      </c>
      <c r="K37" s="82">
        <v>-7.5</v>
      </c>
      <c r="L37" s="7" t="s">
        <v>359</v>
      </c>
      <c r="M37" s="97" t="s">
        <v>291</v>
      </c>
      <c r="N37" s="119">
        <v>43733</v>
      </c>
      <c r="O37" s="117" t="s">
        <v>301</v>
      </c>
      <c r="P37" s="116" t="s">
        <v>312</v>
      </c>
      <c r="Q37" s="117"/>
      <c r="R37" s="117"/>
      <c r="S37" s="78">
        <f t="shared" si="0"/>
        <v>750</v>
      </c>
      <c r="T37" s="78" t="str">
        <f t="shared" si="1"/>
        <v>C</v>
      </c>
      <c r="U37" s="83" t="str">
        <f t="shared" si="2"/>
        <v>UMAMH69990015522651511A606363000D06LM200070-7.5Hazen, Samuel43733</v>
      </c>
    </row>
    <row r="38" spans="1:21" s="101" customFormat="1" ht="15.95" customHeight="1" x14ac:dyDescent="0.2">
      <c r="A38" s="118">
        <v>23</v>
      </c>
      <c r="B38" s="79" t="s">
        <v>23</v>
      </c>
      <c r="C38" s="94" t="s">
        <v>286</v>
      </c>
      <c r="D38" s="80" t="s">
        <v>360</v>
      </c>
      <c r="E38" s="161" t="str">
        <f>IF('Web Links'!N24&lt;&gt;0,'Web Links'!N24,)</f>
        <v>52132</v>
      </c>
      <c r="F38" s="161" t="str">
        <f>'Web Links'!O24</f>
        <v>A606108000</v>
      </c>
      <c r="G38" s="162" t="str">
        <f>'Web Links'!P24</f>
        <v>A01</v>
      </c>
      <c r="H38" s="163" t="str">
        <f>'Web Links'!Q24</f>
        <v/>
      </c>
      <c r="I38" s="161" t="str">
        <f>'Web Links'!R24</f>
        <v/>
      </c>
      <c r="J38" s="81" t="s">
        <v>362</v>
      </c>
      <c r="K38" s="82">
        <v>223.8</v>
      </c>
      <c r="L38" s="7" t="s">
        <v>363</v>
      </c>
      <c r="M38" s="97" t="s">
        <v>291</v>
      </c>
      <c r="N38" s="119">
        <v>43733</v>
      </c>
      <c r="O38" s="117" t="s">
        <v>345</v>
      </c>
      <c r="P38" s="116" t="s">
        <v>312</v>
      </c>
      <c r="Q38" s="117"/>
      <c r="R38" s="117"/>
      <c r="S38" s="78">
        <f t="shared" si="0"/>
        <v>22380</v>
      </c>
      <c r="T38" s="78" t="str">
        <f t="shared" si="1"/>
        <v>D</v>
      </c>
      <c r="U38" s="83" t="str">
        <f t="shared" si="2"/>
        <v>UMAMH75308016426252132A606108000A01LM200071223.8Jerry, Joseph43733</v>
      </c>
    </row>
    <row r="39" spans="1:21" s="101" customFormat="1" ht="15.95" customHeight="1" x14ac:dyDescent="0.2">
      <c r="A39" s="118">
        <v>24</v>
      </c>
      <c r="B39" s="79" t="s">
        <v>23</v>
      </c>
      <c r="C39" s="80" t="s">
        <v>287</v>
      </c>
      <c r="D39" s="80" t="s">
        <v>292</v>
      </c>
      <c r="E39" s="161" t="str">
        <f>IF('Web Links'!N25&lt;&gt;0,'Web Links'!N25,)</f>
        <v>51511</v>
      </c>
      <c r="F39" s="161" t="str">
        <f>'Web Links'!O25</f>
        <v>A606363000</v>
      </c>
      <c r="G39" s="162" t="str">
        <f>'Web Links'!P25</f>
        <v>D06</v>
      </c>
      <c r="H39" s="163" t="str">
        <f>'Web Links'!Q25</f>
        <v/>
      </c>
      <c r="I39" s="161" t="str">
        <f>'Web Links'!R25</f>
        <v/>
      </c>
      <c r="J39" s="81" t="s">
        <v>362</v>
      </c>
      <c r="K39" s="82">
        <v>-223.8</v>
      </c>
      <c r="L39" s="7" t="s">
        <v>363</v>
      </c>
      <c r="M39" s="97" t="s">
        <v>291</v>
      </c>
      <c r="N39" s="119">
        <v>43733</v>
      </c>
      <c r="O39" s="117" t="s">
        <v>345</v>
      </c>
      <c r="P39" s="116" t="s">
        <v>312</v>
      </c>
      <c r="Q39" s="117"/>
      <c r="R39" s="117"/>
      <c r="S39" s="78">
        <f t="shared" si="0"/>
        <v>22380</v>
      </c>
      <c r="T39" s="78" t="str">
        <f t="shared" si="1"/>
        <v>C</v>
      </c>
      <c r="U39" s="83" t="str">
        <f t="shared" si="2"/>
        <v>UMAMH69990015522651511A606363000D06LM200071-223.8Jerry, Joseph43733</v>
      </c>
    </row>
    <row r="40" spans="1:21" s="101" customFormat="1" ht="15.95" customHeight="1" x14ac:dyDescent="0.2">
      <c r="A40" s="118">
        <v>25</v>
      </c>
      <c r="B40" s="79" t="s">
        <v>23</v>
      </c>
      <c r="C40" s="94" t="s">
        <v>286</v>
      </c>
      <c r="D40" s="80" t="s">
        <v>360</v>
      </c>
      <c r="E40" s="161" t="str">
        <f>IF('Web Links'!N26&lt;&gt;0,'Web Links'!N26,)</f>
        <v>52132</v>
      </c>
      <c r="F40" s="161" t="str">
        <f>'Web Links'!O26</f>
        <v>A606108000</v>
      </c>
      <c r="G40" s="162" t="str">
        <f>'Web Links'!P26</f>
        <v>A01</v>
      </c>
      <c r="H40" s="163" t="str">
        <f>'Web Links'!Q26</f>
        <v/>
      </c>
      <c r="I40" s="161" t="str">
        <f>'Web Links'!R26</f>
        <v/>
      </c>
      <c r="J40" s="81" t="s">
        <v>364</v>
      </c>
      <c r="K40" s="82">
        <v>29.4</v>
      </c>
      <c r="L40" s="7" t="s">
        <v>363</v>
      </c>
      <c r="M40" s="97" t="s">
        <v>291</v>
      </c>
      <c r="N40" s="119">
        <v>43733</v>
      </c>
      <c r="O40" s="117" t="s">
        <v>345</v>
      </c>
      <c r="P40" s="116" t="s">
        <v>312</v>
      </c>
      <c r="Q40" s="117"/>
      <c r="R40" s="117"/>
      <c r="S40" s="78">
        <f t="shared" si="0"/>
        <v>2940</v>
      </c>
      <c r="T40" s="78" t="str">
        <f t="shared" si="1"/>
        <v>D</v>
      </c>
      <c r="U40" s="83" t="str">
        <f t="shared" si="2"/>
        <v>UMAMH75308016426252132A606108000A01LM20007229.4Jerry, Joseph43733</v>
      </c>
    </row>
    <row r="41" spans="1:21" s="101" customFormat="1" ht="15.95" customHeight="1" x14ac:dyDescent="0.2">
      <c r="A41" s="118">
        <v>26</v>
      </c>
      <c r="B41" s="79" t="s">
        <v>23</v>
      </c>
      <c r="C41" s="80" t="s">
        <v>287</v>
      </c>
      <c r="D41" s="80" t="s">
        <v>292</v>
      </c>
      <c r="E41" s="161" t="str">
        <f>IF('Web Links'!N27&lt;&gt;0,'Web Links'!N27,)</f>
        <v>51511</v>
      </c>
      <c r="F41" s="161" t="str">
        <f>'Web Links'!O27</f>
        <v>A606363000</v>
      </c>
      <c r="G41" s="162" t="str">
        <f>'Web Links'!P27</f>
        <v>D06</v>
      </c>
      <c r="H41" s="163" t="str">
        <f>'Web Links'!Q27</f>
        <v/>
      </c>
      <c r="I41" s="161" t="str">
        <f>'Web Links'!R27</f>
        <v/>
      </c>
      <c r="J41" s="81" t="s">
        <v>364</v>
      </c>
      <c r="K41" s="82">
        <v>-29.4</v>
      </c>
      <c r="L41" s="7" t="s">
        <v>363</v>
      </c>
      <c r="M41" s="97" t="s">
        <v>291</v>
      </c>
      <c r="N41" s="119">
        <v>43733</v>
      </c>
      <c r="O41" s="117" t="s">
        <v>345</v>
      </c>
      <c r="P41" s="116" t="s">
        <v>312</v>
      </c>
      <c r="Q41" s="117"/>
      <c r="R41" s="117"/>
      <c r="S41" s="78">
        <f t="shared" si="0"/>
        <v>2940</v>
      </c>
      <c r="T41" s="78" t="str">
        <f t="shared" si="1"/>
        <v>C</v>
      </c>
      <c r="U41" s="83" t="str">
        <f t="shared" si="2"/>
        <v>UMAMH69990015522651511A606363000D06LM200072-29.4Jerry, Joseph43733</v>
      </c>
    </row>
    <row r="42" spans="1:21" s="101" customFormat="1" ht="15.95" customHeight="1" x14ac:dyDescent="0.2">
      <c r="A42" s="118">
        <v>27</v>
      </c>
      <c r="B42" s="79" t="s">
        <v>23</v>
      </c>
      <c r="C42" s="94" t="s">
        <v>286</v>
      </c>
      <c r="D42" s="80" t="s">
        <v>365</v>
      </c>
      <c r="E42" s="161" t="str">
        <f>IF('Web Links'!N28&lt;&gt;0,'Web Links'!N28,)</f>
        <v>51344</v>
      </c>
      <c r="F42" s="161" t="str">
        <f>'Web Links'!O28</f>
        <v>A090700044</v>
      </c>
      <c r="G42" s="162" t="str">
        <f>'Web Links'!P28</f>
        <v>A01</v>
      </c>
      <c r="H42" s="163" t="str">
        <f>'Web Links'!Q28</f>
        <v>E0821</v>
      </c>
      <c r="I42" s="161" t="str">
        <f>'Web Links'!R28</f>
        <v/>
      </c>
      <c r="J42" s="81" t="s">
        <v>368</v>
      </c>
      <c r="K42" s="82">
        <v>36.299999999999997</v>
      </c>
      <c r="L42" s="7" t="s">
        <v>369</v>
      </c>
      <c r="M42" s="97" t="s">
        <v>291</v>
      </c>
      <c r="N42" s="119">
        <v>43733</v>
      </c>
      <c r="O42" s="117" t="s">
        <v>318</v>
      </c>
      <c r="P42" s="116" t="s">
        <v>312</v>
      </c>
      <c r="Q42" s="117"/>
      <c r="R42" s="117"/>
      <c r="S42" s="78">
        <f t="shared" si="0"/>
        <v>3629.9999999999995</v>
      </c>
      <c r="T42" s="78" t="str">
        <f t="shared" si="1"/>
        <v>D</v>
      </c>
      <c r="U42" s="83" t="str">
        <f t="shared" si="2"/>
        <v>UMAMH75308016438751344A090700044A01E0821LM20007336.3Katsumata, Reika43733</v>
      </c>
    </row>
    <row r="43" spans="1:21" s="101" customFormat="1" ht="15.95" customHeight="1" x14ac:dyDescent="0.2">
      <c r="A43" s="118">
        <v>28</v>
      </c>
      <c r="B43" s="79" t="s">
        <v>23</v>
      </c>
      <c r="C43" s="80" t="s">
        <v>287</v>
      </c>
      <c r="D43" s="80" t="s">
        <v>292</v>
      </c>
      <c r="E43" s="161" t="str">
        <f>IF('Web Links'!N29&lt;&gt;0,'Web Links'!N29,)</f>
        <v>51511</v>
      </c>
      <c r="F43" s="161" t="str">
        <f>'Web Links'!O29</f>
        <v>A606363000</v>
      </c>
      <c r="G43" s="162" t="str">
        <f>'Web Links'!P29</f>
        <v>D06</v>
      </c>
      <c r="H43" s="163" t="str">
        <f>'Web Links'!Q29</f>
        <v/>
      </c>
      <c r="I43" s="161" t="str">
        <f>'Web Links'!R29</f>
        <v/>
      </c>
      <c r="J43" s="81" t="s">
        <v>368</v>
      </c>
      <c r="K43" s="82">
        <v>-36.299999999999997</v>
      </c>
      <c r="L43" s="7" t="s">
        <v>369</v>
      </c>
      <c r="M43" s="97" t="s">
        <v>291</v>
      </c>
      <c r="N43" s="119">
        <v>43733</v>
      </c>
      <c r="O43" s="117" t="s">
        <v>318</v>
      </c>
      <c r="P43" s="116" t="s">
        <v>312</v>
      </c>
      <c r="Q43" s="117"/>
      <c r="R43" s="117"/>
      <c r="S43" s="78">
        <f t="shared" si="0"/>
        <v>3629.9999999999995</v>
      </c>
      <c r="T43" s="78" t="str">
        <f t="shared" si="1"/>
        <v>C</v>
      </c>
      <c r="U43" s="83" t="str">
        <f t="shared" si="2"/>
        <v>UMAMH69990015522651511A606363000D06LM200073-36.3Katsumata, Reika43733</v>
      </c>
    </row>
    <row r="44" spans="1:21" s="101" customFormat="1" ht="15.95" customHeight="1" x14ac:dyDescent="0.2">
      <c r="A44" s="118">
        <v>29</v>
      </c>
      <c r="B44" s="79" t="s">
        <v>23</v>
      </c>
      <c r="C44" s="94" t="s">
        <v>286</v>
      </c>
      <c r="D44" s="80" t="s">
        <v>370</v>
      </c>
      <c r="E44" s="161" t="str">
        <f>IF('Web Links'!N30&lt;&gt;0,'Web Links'!N30,)</f>
        <v>53106</v>
      </c>
      <c r="F44" s="161" t="str">
        <f>'Web Links'!O30</f>
        <v>A040100086</v>
      </c>
      <c r="G44" s="162" t="str">
        <f>'Web Links'!P30</f>
        <v>B03</v>
      </c>
      <c r="H44" s="163" t="str">
        <f>'Web Links'!Q30</f>
        <v/>
      </c>
      <c r="I44" s="161" t="str">
        <f>'Web Links'!R30</f>
        <v>S11110000000387</v>
      </c>
      <c r="J44" s="81" t="s">
        <v>373</v>
      </c>
      <c r="K44" s="82">
        <v>158.75</v>
      </c>
      <c r="L44" s="7" t="s">
        <v>374</v>
      </c>
      <c r="M44" s="97" t="s">
        <v>291</v>
      </c>
      <c r="N44" s="119">
        <v>43733</v>
      </c>
      <c r="O44" s="117" t="s">
        <v>301</v>
      </c>
      <c r="P44" s="116" t="s">
        <v>312</v>
      </c>
      <c r="Q44" s="117"/>
      <c r="R44" s="117"/>
      <c r="S44" s="78">
        <f t="shared" si="0"/>
        <v>15875</v>
      </c>
      <c r="T44" s="78" t="str">
        <f t="shared" si="1"/>
        <v>D</v>
      </c>
      <c r="U44" s="83" t="str">
        <f t="shared" si="2"/>
        <v>UMAMH75308016777653106A040100086B03S11110000000387LM200074158.75Katz, Paul43733</v>
      </c>
    </row>
    <row r="45" spans="1:21" s="101" customFormat="1" ht="15.95" customHeight="1" x14ac:dyDescent="0.2">
      <c r="A45" s="118">
        <v>30</v>
      </c>
      <c r="B45" s="79" t="s">
        <v>23</v>
      </c>
      <c r="C45" s="80" t="s">
        <v>287</v>
      </c>
      <c r="D45" s="80" t="s">
        <v>292</v>
      </c>
      <c r="E45" s="161" t="str">
        <f>IF('Web Links'!N31&lt;&gt;0,'Web Links'!N31,)</f>
        <v>51511</v>
      </c>
      <c r="F45" s="161" t="str">
        <f>'Web Links'!O31</f>
        <v>A606363000</v>
      </c>
      <c r="G45" s="162" t="str">
        <f>'Web Links'!P31</f>
        <v>D06</v>
      </c>
      <c r="H45" s="163" t="str">
        <f>'Web Links'!Q31</f>
        <v/>
      </c>
      <c r="I45" s="161" t="str">
        <f>'Web Links'!R31</f>
        <v/>
      </c>
      <c r="J45" s="81" t="s">
        <v>373</v>
      </c>
      <c r="K45" s="82">
        <v>-158.75</v>
      </c>
      <c r="L45" s="7" t="s">
        <v>374</v>
      </c>
      <c r="M45" s="97" t="s">
        <v>291</v>
      </c>
      <c r="N45" s="119">
        <v>43733</v>
      </c>
      <c r="O45" s="117" t="s">
        <v>301</v>
      </c>
      <c r="P45" s="116" t="s">
        <v>312</v>
      </c>
      <c r="Q45" s="117"/>
      <c r="R45" s="117"/>
      <c r="S45" s="78">
        <f t="shared" si="0"/>
        <v>15875</v>
      </c>
      <c r="T45" s="78" t="str">
        <f t="shared" si="1"/>
        <v>C</v>
      </c>
      <c r="U45" s="83" t="str">
        <f t="shared" si="2"/>
        <v>UMAMH69990015522651511A606363000D06LM200074-158.75Katz, Paul43733</v>
      </c>
    </row>
    <row r="46" spans="1:21" s="101" customFormat="1" ht="15.95" customHeight="1" x14ac:dyDescent="0.2">
      <c r="A46" s="118">
        <v>31</v>
      </c>
      <c r="B46" s="79" t="s">
        <v>23</v>
      </c>
      <c r="C46" s="80" t="s">
        <v>286</v>
      </c>
      <c r="D46" s="80" t="s">
        <v>375</v>
      </c>
      <c r="E46" s="161" t="str">
        <f>IF('Web Links'!N32&lt;&gt;0,'Web Links'!N32,)</f>
        <v>51344</v>
      </c>
      <c r="F46" s="161" t="str">
        <f>'Web Links'!O32</f>
        <v>A090600041</v>
      </c>
      <c r="G46" s="162" t="str">
        <f>'Web Links'!P32</f>
        <v>A01</v>
      </c>
      <c r="H46" s="163" t="str">
        <f>'Web Links'!Q32</f>
        <v>E0921</v>
      </c>
      <c r="I46" s="161" t="str">
        <f>'Web Links'!R32</f>
        <v/>
      </c>
      <c r="J46" s="81" t="s">
        <v>378</v>
      </c>
      <c r="K46" s="82">
        <v>67.5</v>
      </c>
      <c r="L46" s="7" t="s">
        <v>379</v>
      </c>
      <c r="M46" s="7" t="s">
        <v>291</v>
      </c>
      <c r="N46" s="119">
        <v>43733</v>
      </c>
      <c r="O46" s="117" t="s">
        <v>380</v>
      </c>
      <c r="P46" s="117" t="s">
        <v>312</v>
      </c>
      <c r="Q46" s="117"/>
      <c r="R46" s="117"/>
      <c r="S46" s="78">
        <f t="shared" si="0"/>
        <v>6750</v>
      </c>
      <c r="T46" s="78" t="str">
        <f t="shared" si="1"/>
        <v>D</v>
      </c>
      <c r="U46" s="83" t="str">
        <f t="shared" si="2"/>
        <v>UMAMH75308016174651344A090600041A01E0921LM20007567.5Kulkarni, Ashish43733</v>
      </c>
    </row>
    <row r="47" spans="1:21" s="101" customFormat="1" ht="15.95" customHeight="1" x14ac:dyDescent="0.2">
      <c r="A47" s="118">
        <v>32</v>
      </c>
      <c r="B47" s="79" t="s">
        <v>23</v>
      </c>
      <c r="C47" s="80" t="s">
        <v>287</v>
      </c>
      <c r="D47" s="80" t="s">
        <v>292</v>
      </c>
      <c r="E47" s="161" t="str">
        <f>IF('Web Links'!N33&lt;&gt;0,'Web Links'!N33,)</f>
        <v>51511</v>
      </c>
      <c r="F47" s="161" t="str">
        <f>'Web Links'!O33</f>
        <v>A606363000</v>
      </c>
      <c r="G47" s="162" t="str">
        <f>'Web Links'!P33</f>
        <v>D06</v>
      </c>
      <c r="H47" s="163" t="str">
        <f>'Web Links'!Q33</f>
        <v/>
      </c>
      <c r="I47" s="161" t="str">
        <f>'Web Links'!R33</f>
        <v/>
      </c>
      <c r="J47" s="81" t="s">
        <v>378</v>
      </c>
      <c r="K47" s="82">
        <v>-67.5</v>
      </c>
      <c r="L47" s="7" t="s">
        <v>379</v>
      </c>
      <c r="M47" s="7" t="s">
        <v>291</v>
      </c>
      <c r="N47" s="119">
        <v>43733</v>
      </c>
      <c r="O47" s="117" t="s">
        <v>380</v>
      </c>
      <c r="P47" s="117" t="s">
        <v>312</v>
      </c>
      <c r="Q47" s="117"/>
      <c r="R47" s="117"/>
      <c r="S47" s="78">
        <f t="shared" si="0"/>
        <v>6750</v>
      </c>
      <c r="T47" s="78" t="str">
        <f t="shared" si="1"/>
        <v>C</v>
      </c>
      <c r="U47" s="83" t="str">
        <f t="shared" si="2"/>
        <v>UMAMH69990015522651511A606363000D06LM200075-67.5Kulkarni, Ashish43733</v>
      </c>
    </row>
    <row r="48" spans="1:21" s="101" customFormat="1" ht="15.95" customHeight="1" x14ac:dyDescent="0.2">
      <c r="A48" s="118">
        <v>33</v>
      </c>
      <c r="B48" s="79" t="s">
        <v>23</v>
      </c>
      <c r="C48" s="80" t="s">
        <v>286</v>
      </c>
      <c r="D48" s="80" t="s">
        <v>381</v>
      </c>
      <c r="E48" s="161" t="str">
        <f>IF('Web Links'!N34&lt;&gt;0,'Web Links'!N34,)</f>
        <v>53405</v>
      </c>
      <c r="F48" s="161" t="str">
        <f>'Web Links'!O34</f>
        <v>A606240041</v>
      </c>
      <c r="G48" s="162" t="str">
        <f>'Web Links'!P34</f>
        <v>B03</v>
      </c>
      <c r="H48" s="163" t="str">
        <f>'Web Links'!Q34</f>
        <v/>
      </c>
      <c r="I48" s="161" t="str">
        <f>'Web Links'!R34</f>
        <v>S17110000000343</v>
      </c>
      <c r="J48" s="81" t="s">
        <v>384</v>
      </c>
      <c r="K48" s="82">
        <v>241.1</v>
      </c>
      <c r="L48" s="7" t="s">
        <v>379</v>
      </c>
      <c r="M48" s="7" t="s">
        <v>291</v>
      </c>
      <c r="N48" s="119">
        <v>43733</v>
      </c>
      <c r="O48" s="117" t="s">
        <v>380</v>
      </c>
      <c r="P48" s="117" t="s">
        <v>312</v>
      </c>
      <c r="Q48" s="117"/>
      <c r="R48" s="117"/>
      <c r="S48" s="78">
        <f t="shared" si="0"/>
        <v>24110</v>
      </c>
      <c r="T48" s="78" t="str">
        <f t="shared" si="1"/>
        <v>D</v>
      </c>
      <c r="U48" s="83" t="str">
        <f t="shared" si="2"/>
        <v>UMAMH75308016671853405A606240041B03S17110000000343LM200076241.1Kulkarni, Ashish43733</v>
      </c>
    </row>
    <row r="49" spans="1:21" s="101" customFormat="1" ht="15.95" customHeight="1" x14ac:dyDescent="0.2">
      <c r="A49" s="118">
        <v>34</v>
      </c>
      <c r="B49" s="79" t="s">
        <v>23</v>
      </c>
      <c r="C49" s="80" t="s">
        <v>287</v>
      </c>
      <c r="D49" s="80" t="s">
        <v>292</v>
      </c>
      <c r="E49" s="161" t="str">
        <f>IF('Web Links'!N35&lt;&gt;0,'Web Links'!N35,)</f>
        <v>51511</v>
      </c>
      <c r="F49" s="161" t="str">
        <f>'Web Links'!O35</f>
        <v>A606363000</v>
      </c>
      <c r="G49" s="162" t="str">
        <f>'Web Links'!P35</f>
        <v>D06</v>
      </c>
      <c r="H49" s="163" t="str">
        <f>'Web Links'!Q35</f>
        <v/>
      </c>
      <c r="I49" s="161" t="str">
        <f>'Web Links'!R35</f>
        <v/>
      </c>
      <c r="J49" s="81" t="s">
        <v>384</v>
      </c>
      <c r="K49" s="82">
        <v>-241.1</v>
      </c>
      <c r="L49" s="7" t="s">
        <v>379</v>
      </c>
      <c r="M49" s="7" t="s">
        <v>291</v>
      </c>
      <c r="N49" s="119">
        <v>43733</v>
      </c>
      <c r="O49" s="117" t="s">
        <v>380</v>
      </c>
      <c r="P49" s="117" t="s">
        <v>312</v>
      </c>
      <c r="Q49" s="117"/>
      <c r="R49" s="117"/>
      <c r="S49" s="78">
        <f t="shared" si="0"/>
        <v>24110</v>
      </c>
      <c r="T49" s="78" t="str">
        <f t="shared" si="1"/>
        <v>C</v>
      </c>
      <c r="U49" s="83" t="str">
        <f t="shared" si="2"/>
        <v>UMAMH69990015522651511A606363000D06LM200076-241.1Kulkarni, Ashish43733</v>
      </c>
    </row>
    <row r="50" spans="1:21" s="101" customFormat="1" ht="15.95" customHeight="1" x14ac:dyDescent="0.2">
      <c r="A50" s="118">
        <v>35</v>
      </c>
      <c r="B50" s="79" t="s">
        <v>23</v>
      </c>
      <c r="C50" s="80" t="s">
        <v>286</v>
      </c>
      <c r="D50" s="80" t="s">
        <v>385</v>
      </c>
      <c r="E50" s="161" t="str">
        <f>IF('Web Links'!N36&lt;&gt;0,'Web Links'!N36,)</f>
        <v>53106</v>
      </c>
      <c r="F50" s="161" t="str">
        <f>'Web Links'!O36</f>
        <v>A090600036</v>
      </c>
      <c r="G50" s="162" t="str">
        <f>'Web Links'!P36</f>
        <v>B03</v>
      </c>
      <c r="H50" s="163" t="str">
        <f>'Web Links'!Q36</f>
        <v/>
      </c>
      <c r="I50" s="161" t="str">
        <f>'Web Links'!R36</f>
        <v>S11110000000401</v>
      </c>
      <c r="J50" s="81" t="s">
        <v>388</v>
      </c>
      <c r="K50" s="82">
        <v>52.5</v>
      </c>
      <c r="L50" s="7" t="s">
        <v>389</v>
      </c>
      <c r="M50" s="7" t="s">
        <v>291</v>
      </c>
      <c r="N50" s="119">
        <v>43733</v>
      </c>
      <c r="O50" s="117" t="s">
        <v>380</v>
      </c>
      <c r="P50" s="117" t="s">
        <v>312</v>
      </c>
      <c r="Q50" s="117"/>
      <c r="R50" s="117"/>
      <c r="S50" s="78">
        <f t="shared" si="0"/>
        <v>5250</v>
      </c>
      <c r="T50" s="78" t="str">
        <f t="shared" si="1"/>
        <v>D</v>
      </c>
      <c r="U50" s="83" t="str">
        <f t="shared" si="2"/>
        <v>UMAMH75308016922853106A090600036B03S11110000000401LM20007752.5Lee, Jungwoo43733</v>
      </c>
    </row>
    <row r="51" spans="1:21" s="101" customFormat="1" ht="15.95" customHeight="1" x14ac:dyDescent="0.2">
      <c r="A51" s="118">
        <v>36</v>
      </c>
      <c r="B51" s="79" t="s">
        <v>23</v>
      </c>
      <c r="C51" s="80" t="s">
        <v>287</v>
      </c>
      <c r="D51" s="80" t="s">
        <v>292</v>
      </c>
      <c r="E51" s="161" t="str">
        <f>IF('Web Links'!N37&lt;&gt;0,'Web Links'!N37,)</f>
        <v>51511</v>
      </c>
      <c r="F51" s="161" t="str">
        <f>'Web Links'!O37</f>
        <v>A606363000</v>
      </c>
      <c r="G51" s="162" t="str">
        <f>'Web Links'!P37</f>
        <v>D06</v>
      </c>
      <c r="H51" s="163" t="str">
        <f>'Web Links'!Q37</f>
        <v/>
      </c>
      <c r="I51" s="161" t="str">
        <f>'Web Links'!R37</f>
        <v/>
      </c>
      <c r="J51" s="81" t="s">
        <v>388</v>
      </c>
      <c r="K51" s="82">
        <v>-52.5</v>
      </c>
      <c r="L51" s="7" t="s">
        <v>389</v>
      </c>
      <c r="M51" s="7" t="s">
        <v>291</v>
      </c>
      <c r="N51" s="119">
        <v>43733</v>
      </c>
      <c r="O51" s="117" t="s">
        <v>380</v>
      </c>
      <c r="P51" s="117" t="s">
        <v>312</v>
      </c>
      <c r="Q51" s="117"/>
      <c r="R51" s="117"/>
      <c r="S51" s="78">
        <f t="shared" si="0"/>
        <v>5250</v>
      </c>
      <c r="T51" s="78" t="str">
        <f t="shared" si="1"/>
        <v>C</v>
      </c>
      <c r="U51" s="83" t="str">
        <f t="shared" si="2"/>
        <v>UMAMH69990015522651511A606363000D06LM200077-52.5Lee, Jungwoo43733</v>
      </c>
    </row>
    <row r="52" spans="1:21" s="101" customFormat="1" ht="15.95" customHeight="1" x14ac:dyDescent="0.2">
      <c r="A52" s="118">
        <v>37</v>
      </c>
      <c r="B52" s="79" t="s">
        <v>23</v>
      </c>
      <c r="C52" s="80" t="s">
        <v>286</v>
      </c>
      <c r="D52" s="80" t="s">
        <v>298</v>
      </c>
      <c r="E52" s="161" t="str">
        <f>IF('Web Links'!N38&lt;&gt;0,'Web Links'!N38,)</f>
        <v>52132</v>
      </c>
      <c r="F52" s="161" t="str">
        <f>'Web Links'!O38</f>
        <v>A040100065</v>
      </c>
      <c r="G52" s="162" t="str">
        <f>'Web Links'!P38</f>
        <v>A01</v>
      </c>
      <c r="H52" s="163" t="str">
        <f>'Web Links'!Q38</f>
        <v/>
      </c>
      <c r="I52" s="161" t="str">
        <f>'Web Links'!R38</f>
        <v/>
      </c>
      <c r="J52" s="81" t="s">
        <v>390</v>
      </c>
      <c r="K52" s="82">
        <v>63</v>
      </c>
      <c r="L52" s="7" t="s">
        <v>300</v>
      </c>
      <c r="M52" s="7" t="s">
        <v>291</v>
      </c>
      <c r="N52" s="119">
        <v>43733</v>
      </c>
      <c r="O52" s="117" t="s">
        <v>301</v>
      </c>
      <c r="P52" s="117" t="s">
        <v>312</v>
      </c>
      <c r="Q52" s="117"/>
      <c r="R52" s="117"/>
      <c r="S52" s="78">
        <f t="shared" si="0"/>
        <v>6300</v>
      </c>
      <c r="T52" s="78" t="str">
        <f t="shared" si="1"/>
        <v>D</v>
      </c>
      <c r="U52" s="83" t="str">
        <f t="shared" si="2"/>
        <v>UMAMH75308013911852132A040100065A01LM20007863Li, Genglin43733</v>
      </c>
    </row>
    <row r="53" spans="1:21" s="101" customFormat="1" ht="15.95" customHeight="1" x14ac:dyDescent="0.2">
      <c r="A53" s="118">
        <v>38</v>
      </c>
      <c r="B53" s="79" t="s">
        <v>23</v>
      </c>
      <c r="C53" s="80" t="s">
        <v>287</v>
      </c>
      <c r="D53" s="80" t="s">
        <v>292</v>
      </c>
      <c r="E53" s="161" t="str">
        <f>IF('Web Links'!N39&lt;&gt;0,'Web Links'!N39,)</f>
        <v>51511</v>
      </c>
      <c r="F53" s="161" t="str">
        <f>'Web Links'!O39</f>
        <v>A606363000</v>
      </c>
      <c r="G53" s="162" t="str">
        <f>'Web Links'!P39</f>
        <v>D06</v>
      </c>
      <c r="H53" s="163" t="str">
        <f>'Web Links'!Q39</f>
        <v/>
      </c>
      <c r="I53" s="161" t="str">
        <f>'Web Links'!R39</f>
        <v/>
      </c>
      <c r="J53" s="81" t="s">
        <v>390</v>
      </c>
      <c r="K53" s="82">
        <v>-63</v>
      </c>
      <c r="L53" s="7" t="s">
        <v>300</v>
      </c>
      <c r="M53" s="7" t="s">
        <v>291</v>
      </c>
      <c r="N53" s="119">
        <v>43733</v>
      </c>
      <c r="O53" s="117" t="s">
        <v>301</v>
      </c>
      <c r="P53" s="117" t="s">
        <v>312</v>
      </c>
      <c r="Q53" s="117"/>
      <c r="R53" s="117"/>
      <c r="S53" s="78">
        <f t="shared" si="0"/>
        <v>6300</v>
      </c>
      <c r="T53" s="78" t="str">
        <f t="shared" si="1"/>
        <v>C</v>
      </c>
      <c r="U53" s="83" t="str">
        <f t="shared" si="2"/>
        <v>UMAMH69990015522651511A606363000D06LM200078-63Li, Genglin43733</v>
      </c>
    </row>
    <row r="54" spans="1:21" s="101" customFormat="1" ht="15.95" customHeight="1" x14ac:dyDescent="0.2">
      <c r="A54" s="118">
        <v>39</v>
      </c>
      <c r="B54" s="79" t="s">
        <v>23</v>
      </c>
      <c r="C54" s="80" t="s">
        <v>286</v>
      </c>
      <c r="D54" s="80" t="s">
        <v>391</v>
      </c>
      <c r="E54" s="161" t="str">
        <f>IF('Web Links'!N40&lt;&gt;0,'Web Links'!N40,)</f>
        <v>53414</v>
      </c>
      <c r="F54" s="161" t="str">
        <f>'Web Links'!O40</f>
        <v>A041400037</v>
      </c>
      <c r="G54" s="162" t="str">
        <f>'Web Links'!P40</f>
        <v>B03</v>
      </c>
      <c r="H54" s="163" t="str">
        <f>'Web Links'!Q40</f>
        <v/>
      </c>
      <c r="I54" s="161" t="str">
        <f>'Web Links'!R40</f>
        <v>S19000000000591</v>
      </c>
      <c r="J54" s="81" t="s">
        <v>394</v>
      </c>
      <c r="K54" s="82">
        <v>158.75</v>
      </c>
      <c r="L54" s="7" t="s">
        <v>395</v>
      </c>
      <c r="M54" s="7" t="s">
        <v>291</v>
      </c>
      <c r="N54" s="119">
        <v>43733</v>
      </c>
      <c r="O54" s="117" t="s">
        <v>297</v>
      </c>
      <c r="P54" s="117" t="s">
        <v>312</v>
      </c>
      <c r="Q54" s="117"/>
      <c r="R54" s="117"/>
      <c r="S54" s="78">
        <f t="shared" si="0"/>
        <v>15875</v>
      </c>
      <c r="T54" s="78" t="str">
        <f t="shared" si="1"/>
        <v>D</v>
      </c>
      <c r="U54" s="83" t="str">
        <f t="shared" si="2"/>
        <v>UMAMH75308016744653414A041400037B03S19000000000591LM200080158.75Ma, Li-Jun43733</v>
      </c>
    </row>
    <row r="55" spans="1:21" s="101" customFormat="1" ht="15.95" customHeight="1" x14ac:dyDescent="0.2">
      <c r="A55" s="118">
        <v>40</v>
      </c>
      <c r="B55" s="79" t="s">
        <v>23</v>
      </c>
      <c r="C55" s="80" t="s">
        <v>287</v>
      </c>
      <c r="D55" s="80" t="s">
        <v>292</v>
      </c>
      <c r="E55" s="161" t="str">
        <f>IF('Web Links'!N41&lt;&gt;0,'Web Links'!N41,)</f>
        <v>51511</v>
      </c>
      <c r="F55" s="161" t="str">
        <f>'Web Links'!O41</f>
        <v>A606363000</v>
      </c>
      <c r="G55" s="162" t="str">
        <f>'Web Links'!P41</f>
        <v>D06</v>
      </c>
      <c r="H55" s="163" t="str">
        <f>'Web Links'!Q41</f>
        <v/>
      </c>
      <c r="I55" s="161" t="str">
        <f>'Web Links'!R41</f>
        <v/>
      </c>
      <c r="J55" s="81" t="s">
        <v>394</v>
      </c>
      <c r="K55" s="82">
        <v>-158.75</v>
      </c>
      <c r="L55" s="7" t="s">
        <v>395</v>
      </c>
      <c r="M55" s="7" t="s">
        <v>291</v>
      </c>
      <c r="N55" s="119">
        <v>43733</v>
      </c>
      <c r="O55" s="117" t="s">
        <v>297</v>
      </c>
      <c r="P55" s="117" t="s">
        <v>312</v>
      </c>
      <c r="Q55" s="117"/>
      <c r="R55" s="117"/>
      <c r="S55" s="78">
        <f t="shared" si="0"/>
        <v>15875</v>
      </c>
      <c r="T55" s="78" t="str">
        <f t="shared" si="1"/>
        <v>C</v>
      </c>
      <c r="U55" s="83" t="str">
        <f t="shared" si="2"/>
        <v>UMAMH69990015522651511A606363000D06LM200080-158.75Ma, Li-Jun43733</v>
      </c>
    </row>
    <row r="56" spans="1:21" s="101" customFormat="1" ht="15.95" customHeight="1" x14ac:dyDescent="0.2">
      <c r="A56" s="118">
        <v>41</v>
      </c>
      <c r="B56" s="79" t="s">
        <v>23</v>
      </c>
      <c r="C56" s="80" t="s">
        <v>286</v>
      </c>
      <c r="D56" s="80" t="s">
        <v>360</v>
      </c>
      <c r="E56" s="161" t="str">
        <f>IF('Web Links'!N42&lt;&gt;0,'Web Links'!N42,)</f>
        <v>52132</v>
      </c>
      <c r="F56" s="161" t="str">
        <f>'Web Links'!O42</f>
        <v>A606108000</v>
      </c>
      <c r="G56" s="162" t="str">
        <f>'Web Links'!P42</f>
        <v>A01</v>
      </c>
      <c r="H56" s="163" t="str">
        <f>'Web Links'!Q42</f>
        <v/>
      </c>
      <c r="I56" s="161" t="str">
        <f>'Web Links'!R42</f>
        <v/>
      </c>
      <c r="J56" s="81" t="s">
        <v>396</v>
      </c>
      <c r="K56" s="82">
        <v>78.75</v>
      </c>
      <c r="L56" s="7" t="s">
        <v>397</v>
      </c>
      <c r="M56" s="7" t="s">
        <v>291</v>
      </c>
      <c r="N56" s="119">
        <v>43733</v>
      </c>
      <c r="O56" s="117" t="s">
        <v>297</v>
      </c>
      <c r="P56" s="117" t="s">
        <v>312</v>
      </c>
      <c r="Q56" s="117"/>
      <c r="R56" s="117"/>
      <c r="S56" s="78">
        <f t="shared" si="0"/>
        <v>7875</v>
      </c>
      <c r="T56" s="78" t="str">
        <f t="shared" si="1"/>
        <v>D</v>
      </c>
      <c r="U56" s="83" t="str">
        <f t="shared" si="2"/>
        <v>UMAMH75308016426252132A606108000A01LM20008378.75Normanly, Jennifer43733</v>
      </c>
    </row>
    <row r="57" spans="1:21" s="101" customFormat="1" ht="15.95" customHeight="1" x14ac:dyDescent="0.2">
      <c r="A57" s="118">
        <v>42</v>
      </c>
      <c r="B57" s="79" t="s">
        <v>23</v>
      </c>
      <c r="C57" s="80" t="s">
        <v>287</v>
      </c>
      <c r="D57" s="80" t="s">
        <v>292</v>
      </c>
      <c r="E57" s="161" t="str">
        <f>IF('Web Links'!N43&lt;&gt;0,'Web Links'!N43,)</f>
        <v>51511</v>
      </c>
      <c r="F57" s="161" t="str">
        <f>'Web Links'!O43</f>
        <v>A606363000</v>
      </c>
      <c r="G57" s="162" t="str">
        <f>'Web Links'!P43</f>
        <v>D06</v>
      </c>
      <c r="H57" s="163" t="str">
        <f>'Web Links'!Q43</f>
        <v/>
      </c>
      <c r="I57" s="161" t="str">
        <f>'Web Links'!R43</f>
        <v/>
      </c>
      <c r="J57" s="81" t="s">
        <v>396</v>
      </c>
      <c r="K57" s="82">
        <v>-78.75</v>
      </c>
      <c r="L57" s="7" t="s">
        <v>397</v>
      </c>
      <c r="M57" s="7" t="s">
        <v>291</v>
      </c>
      <c r="N57" s="119">
        <v>43733</v>
      </c>
      <c r="O57" s="117" t="s">
        <v>297</v>
      </c>
      <c r="P57" s="117" t="s">
        <v>312</v>
      </c>
      <c r="Q57" s="117"/>
      <c r="R57" s="117"/>
      <c r="S57" s="78">
        <f t="shared" si="0"/>
        <v>7875</v>
      </c>
      <c r="T57" s="78" t="str">
        <f t="shared" si="1"/>
        <v>C</v>
      </c>
      <c r="U57" s="83" t="str">
        <f t="shared" si="2"/>
        <v>UMAMH69990015522651511A606363000D06LM200083-78.75Normanly, Jennifer43733</v>
      </c>
    </row>
    <row r="58" spans="1:21" s="101" customFormat="1" ht="15.95" customHeight="1" x14ac:dyDescent="0.2">
      <c r="A58" s="118">
        <v>43</v>
      </c>
      <c r="B58" s="79" t="s">
        <v>23</v>
      </c>
      <c r="C58" s="80" t="s">
        <v>286</v>
      </c>
      <c r="D58" s="80" t="s">
        <v>398</v>
      </c>
      <c r="E58" s="161" t="str">
        <f>IF('Web Links'!N44&lt;&gt;0,'Web Links'!N44,)</f>
        <v>52132</v>
      </c>
      <c r="F58" s="161" t="str">
        <f>'Web Links'!O44</f>
        <v>A010400032</v>
      </c>
      <c r="G58" s="162" t="str">
        <f>'Web Links'!P44</f>
        <v>A01</v>
      </c>
      <c r="H58" s="163" t="str">
        <f>'Web Links'!Q44</f>
        <v/>
      </c>
      <c r="I58" s="161" t="str">
        <f>'Web Links'!R44</f>
        <v/>
      </c>
      <c r="J58" s="81" t="s">
        <v>400</v>
      </c>
      <c r="K58" s="82">
        <v>43.5</v>
      </c>
      <c r="L58" s="7" t="s">
        <v>401</v>
      </c>
      <c r="M58" s="7" t="s">
        <v>291</v>
      </c>
      <c r="N58" s="119">
        <v>43733</v>
      </c>
      <c r="O58" s="117" t="s">
        <v>345</v>
      </c>
      <c r="P58" s="117" t="s">
        <v>312</v>
      </c>
      <c r="Q58" s="117"/>
      <c r="R58" s="117"/>
      <c r="S58" s="78">
        <f t="shared" si="0"/>
        <v>4350</v>
      </c>
      <c r="T58" s="78" t="str">
        <f t="shared" si="1"/>
        <v>D</v>
      </c>
      <c r="U58" s="83" t="str">
        <f t="shared" si="2"/>
        <v>UMAMH75308013393952132A010400032A01LM20008643.5Peterson, Sandra43733</v>
      </c>
    </row>
    <row r="59" spans="1:21" s="101" customFormat="1" ht="15.95" customHeight="1" x14ac:dyDescent="0.2">
      <c r="A59" s="118">
        <v>44</v>
      </c>
      <c r="B59" s="79" t="s">
        <v>23</v>
      </c>
      <c r="C59" s="80" t="s">
        <v>287</v>
      </c>
      <c r="D59" s="80" t="s">
        <v>292</v>
      </c>
      <c r="E59" s="161" t="str">
        <f>IF('Web Links'!N45&lt;&gt;0,'Web Links'!N45,)</f>
        <v>51511</v>
      </c>
      <c r="F59" s="161" t="str">
        <f>'Web Links'!O45</f>
        <v>A606363000</v>
      </c>
      <c r="G59" s="162" t="str">
        <f>'Web Links'!P45</f>
        <v>D06</v>
      </c>
      <c r="H59" s="163" t="str">
        <f>'Web Links'!Q45</f>
        <v/>
      </c>
      <c r="I59" s="161" t="str">
        <f>'Web Links'!R45</f>
        <v/>
      </c>
      <c r="J59" s="81" t="s">
        <v>400</v>
      </c>
      <c r="K59" s="82">
        <v>-43.5</v>
      </c>
      <c r="L59" s="7" t="s">
        <v>401</v>
      </c>
      <c r="M59" s="7" t="s">
        <v>291</v>
      </c>
      <c r="N59" s="119">
        <v>43733</v>
      </c>
      <c r="O59" s="117" t="s">
        <v>345</v>
      </c>
      <c r="P59" s="117" t="s">
        <v>312</v>
      </c>
      <c r="Q59" s="117"/>
      <c r="R59" s="117"/>
      <c r="S59" s="78">
        <f t="shared" si="0"/>
        <v>4350</v>
      </c>
      <c r="T59" s="78" t="str">
        <f t="shared" si="1"/>
        <v>C</v>
      </c>
      <c r="U59" s="83" t="str">
        <f t="shared" si="2"/>
        <v>UMAMH69990015522651511A606363000D06LM200086-43.5Peterson, Sandra43733</v>
      </c>
    </row>
    <row r="60" spans="1:21" s="101" customFormat="1" ht="15.95" customHeight="1" x14ac:dyDescent="0.2">
      <c r="A60" s="118">
        <v>45</v>
      </c>
      <c r="B60" s="79" t="s">
        <v>23</v>
      </c>
      <c r="C60" s="80" t="s">
        <v>286</v>
      </c>
      <c r="D60" s="80" t="s">
        <v>402</v>
      </c>
      <c r="E60" s="161" t="str">
        <f>IF('Web Links'!N46&lt;&gt;0,'Web Links'!N46,)</f>
        <v>53106</v>
      </c>
      <c r="F60" s="161" t="str">
        <f>'Web Links'!O46</f>
        <v>A200100058</v>
      </c>
      <c r="G60" s="162" t="str">
        <f>'Web Links'!P46</f>
        <v>B03</v>
      </c>
      <c r="H60" s="163" t="str">
        <f>'Web Links'!Q46</f>
        <v/>
      </c>
      <c r="I60" s="161" t="str">
        <f>'Web Links'!R46</f>
        <v>S11110000000397</v>
      </c>
      <c r="J60" s="81" t="s">
        <v>405</v>
      </c>
      <c r="K60" s="82">
        <v>307.5</v>
      </c>
      <c r="L60" s="7" t="s">
        <v>406</v>
      </c>
      <c r="M60" s="7" t="s">
        <v>291</v>
      </c>
      <c r="N60" s="119">
        <v>43733</v>
      </c>
      <c r="O60" s="117" t="s">
        <v>306</v>
      </c>
      <c r="P60" s="117" t="s">
        <v>312</v>
      </c>
      <c r="Q60" s="117"/>
      <c r="R60" s="117"/>
      <c r="S60" s="78">
        <f t="shared" si="0"/>
        <v>30750</v>
      </c>
      <c r="T60" s="78" t="str">
        <f t="shared" si="1"/>
        <v>D</v>
      </c>
      <c r="U60" s="83" t="str">
        <f t="shared" si="2"/>
        <v>UMAMH75308016907853106A200100058B03S11110000000397LM200088307.5Remage-Healey, Luke43733</v>
      </c>
    </row>
    <row r="61" spans="1:21" s="101" customFormat="1" ht="15.95" customHeight="1" x14ac:dyDescent="0.2">
      <c r="A61" s="118">
        <v>46</v>
      </c>
      <c r="B61" s="79" t="s">
        <v>23</v>
      </c>
      <c r="C61" s="80" t="s">
        <v>287</v>
      </c>
      <c r="D61" s="80" t="s">
        <v>292</v>
      </c>
      <c r="E61" s="161" t="str">
        <f>IF('Web Links'!N47&lt;&gt;0,'Web Links'!N47,)</f>
        <v>51511</v>
      </c>
      <c r="F61" s="161" t="str">
        <f>'Web Links'!O47</f>
        <v>A606363000</v>
      </c>
      <c r="G61" s="162" t="str">
        <f>'Web Links'!P47</f>
        <v>D06</v>
      </c>
      <c r="H61" s="163" t="str">
        <f>'Web Links'!Q47</f>
        <v/>
      </c>
      <c r="I61" s="161" t="str">
        <f>'Web Links'!R47</f>
        <v/>
      </c>
      <c r="J61" s="81" t="s">
        <v>405</v>
      </c>
      <c r="K61" s="82">
        <v>-307.5</v>
      </c>
      <c r="L61" s="7" t="s">
        <v>406</v>
      </c>
      <c r="M61" s="7" t="s">
        <v>291</v>
      </c>
      <c r="N61" s="119">
        <v>43733</v>
      </c>
      <c r="O61" s="117" t="s">
        <v>306</v>
      </c>
      <c r="P61" s="117" t="s">
        <v>312</v>
      </c>
      <c r="Q61" s="117"/>
      <c r="R61" s="117"/>
      <c r="S61" s="78">
        <f t="shared" si="0"/>
        <v>30750</v>
      </c>
      <c r="T61" s="78" t="str">
        <f t="shared" si="1"/>
        <v>C</v>
      </c>
      <c r="U61" s="83" t="str">
        <f t="shared" si="2"/>
        <v>UMAMH69990015522651511A606363000D06LM200088-307.5Remage-Healey, Luke43733</v>
      </c>
    </row>
    <row r="62" spans="1:21" s="101" customFormat="1" ht="15.95" customHeight="1" x14ac:dyDescent="0.2">
      <c r="A62" s="118">
        <v>47</v>
      </c>
      <c r="B62" s="79" t="s">
        <v>23</v>
      </c>
      <c r="C62" s="80" t="s">
        <v>286</v>
      </c>
      <c r="D62" s="80" t="s">
        <v>303</v>
      </c>
      <c r="E62" s="161" t="str">
        <f>IF('Web Links'!N48&lt;&gt;0,'Web Links'!N48,)</f>
        <v>53106</v>
      </c>
      <c r="F62" s="161" t="str">
        <f>'Web Links'!O48</f>
        <v>A606234064</v>
      </c>
      <c r="G62" s="162" t="str">
        <f>'Web Links'!P48</f>
        <v>B03</v>
      </c>
      <c r="H62" s="163" t="str">
        <f>'Web Links'!Q48</f>
        <v/>
      </c>
      <c r="I62" s="161" t="str">
        <f>'Web Links'!R48</f>
        <v>S11110000000251</v>
      </c>
      <c r="J62" s="81" t="s">
        <v>407</v>
      </c>
      <c r="K62" s="82">
        <v>68.400000000000006</v>
      </c>
      <c r="L62" s="7" t="s">
        <v>408</v>
      </c>
      <c r="M62" s="7" t="s">
        <v>291</v>
      </c>
      <c r="N62" s="119">
        <v>43733</v>
      </c>
      <c r="O62" s="117" t="s">
        <v>306</v>
      </c>
      <c r="P62" s="117" t="s">
        <v>312</v>
      </c>
      <c r="Q62" s="117"/>
      <c r="R62" s="117"/>
      <c r="S62" s="78">
        <f t="shared" si="0"/>
        <v>6840.0000000000009</v>
      </c>
      <c r="T62" s="78" t="str">
        <f t="shared" si="1"/>
        <v>D</v>
      </c>
      <c r="U62" s="83" t="str">
        <f t="shared" si="2"/>
        <v>UMAMH75308015817153106A606234064B03S11110000000251LM20009068.4Richadson, Heather43733</v>
      </c>
    </row>
    <row r="63" spans="1:21" s="101" customFormat="1" ht="15.95" customHeight="1" x14ac:dyDescent="0.2">
      <c r="A63" s="118">
        <v>48</v>
      </c>
      <c r="B63" s="79" t="s">
        <v>23</v>
      </c>
      <c r="C63" s="80" t="s">
        <v>287</v>
      </c>
      <c r="D63" s="80" t="s">
        <v>292</v>
      </c>
      <c r="E63" s="161" t="str">
        <f>IF('Web Links'!N49&lt;&gt;0,'Web Links'!N49,)</f>
        <v>51511</v>
      </c>
      <c r="F63" s="161" t="str">
        <f>'Web Links'!O49</f>
        <v>A606363000</v>
      </c>
      <c r="G63" s="162" t="str">
        <f>'Web Links'!P49</f>
        <v>D06</v>
      </c>
      <c r="H63" s="163" t="str">
        <f>'Web Links'!Q49</f>
        <v/>
      </c>
      <c r="I63" s="161" t="str">
        <f>'Web Links'!R49</f>
        <v/>
      </c>
      <c r="J63" s="81" t="s">
        <v>407</v>
      </c>
      <c r="K63" s="82">
        <v>-68.400000000000006</v>
      </c>
      <c r="L63" s="7" t="s">
        <v>408</v>
      </c>
      <c r="M63" s="7" t="s">
        <v>291</v>
      </c>
      <c r="N63" s="119">
        <v>43733</v>
      </c>
      <c r="O63" s="117" t="s">
        <v>306</v>
      </c>
      <c r="P63" s="117" t="s">
        <v>312</v>
      </c>
      <c r="Q63" s="117"/>
      <c r="R63" s="117"/>
      <c r="S63" s="78">
        <f t="shared" si="0"/>
        <v>6840.0000000000009</v>
      </c>
      <c r="T63" s="78" t="str">
        <f t="shared" si="1"/>
        <v>C</v>
      </c>
      <c r="U63" s="83" t="str">
        <f t="shared" si="2"/>
        <v>UMAMH69990015522651511A606363000D06LM200090-68.4Richadson, Heather43733</v>
      </c>
    </row>
    <row r="64" spans="1:21" s="101" customFormat="1" ht="15.95" customHeight="1" x14ac:dyDescent="0.2">
      <c r="A64" s="118">
        <v>49</v>
      </c>
      <c r="B64" s="79" t="s">
        <v>23</v>
      </c>
      <c r="C64" s="80" t="s">
        <v>286</v>
      </c>
      <c r="D64" s="80" t="s">
        <v>409</v>
      </c>
      <c r="E64" s="161" t="str">
        <f>IF('Web Links'!N50&lt;&gt;0,'Web Links'!N50,)</f>
        <v>53106</v>
      </c>
      <c r="F64" s="161" t="str">
        <f>'Web Links'!O50</f>
        <v>A606333031</v>
      </c>
      <c r="G64" s="162" t="str">
        <f>'Web Links'!P50</f>
        <v>B03</v>
      </c>
      <c r="H64" s="163" t="str">
        <f>'Web Links'!Q50</f>
        <v/>
      </c>
      <c r="I64" s="161" t="str">
        <f>'Web Links'!R50</f>
        <v>S11900000000063</v>
      </c>
      <c r="J64" s="81" t="s">
        <v>412</v>
      </c>
      <c r="K64" s="82">
        <v>160.06</v>
      </c>
      <c r="L64" s="7" t="s">
        <v>413</v>
      </c>
      <c r="M64" s="7" t="s">
        <v>291</v>
      </c>
      <c r="N64" s="119">
        <v>43733</v>
      </c>
      <c r="O64" s="117" t="s">
        <v>318</v>
      </c>
      <c r="P64" s="117" t="s">
        <v>312</v>
      </c>
      <c r="Q64" s="117"/>
      <c r="R64" s="117"/>
      <c r="S64" s="78">
        <f t="shared" si="0"/>
        <v>16006</v>
      </c>
      <c r="T64" s="78" t="str">
        <f t="shared" si="1"/>
        <v>D</v>
      </c>
      <c r="U64" s="83" t="str">
        <f t="shared" si="2"/>
        <v>UMAMH75308016380853106A606333031B03S11900000000063LM200093160.06Santore, Maria43733</v>
      </c>
    </row>
    <row r="65" spans="1:21" s="101" customFormat="1" ht="15.95" customHeight="1" x14ac:dyDescent="0.2">
      <c r="A65" s="118">
        <v>50</v>
      </c>
      <c r="B65" s="79" t="s">
        <v>23</v>
      </c>
      <c r="C65" s="80" t="s">
        <v>287</v>
      </c>
      <c r="D65" s="80" t="s">
        <v>292</v>
      </c>
      <c r="E65" s="161" t="str">
        <f>IF('Web Links'!N51&lt;&gt;0,'Web Links'!N51,)</f>
        <v>51511</v>
      </c>
      <c r="F65" s="161" t="str">
        <f>'Web Links'!O51</f>
        <v>A606363000</v>
      </c>
      <c r="G65" s="162" t="str">
        <f>'Web Links'!P51</f>
        <v>D06</v>
      </c>
      <c r="H65" s="163" t="str">
        <f>'Web Links'!Q51</f>
        <v/>
      </c>
      <c r="I65" s="161" t="str">
        <f>'Web Links'!R51</f>
        <v/>
      </c>
      <c r="J65" s="81" t="s">
        <v>412</v>
      </c>
      <c r="K65" s="82">
        <v>-160.06</v>
      </c>
      <c r="L65" s="7" t="s">
        <v>413</v>
      </c>
      <c r="M65" s="7" t="s">
        <v>291</v>
      </c>
      <c r="N65" s="119">
        <v>43733</v>
      </c>
      <c r="O65" s="117" t="s">
        <v>318</v>
      </c>
      <c r="P65" s="117" t="s">
        <v>312</v>
      </c>
      <c r="Q65" s="117"/>
      <c r="R65" s="117"/>
      <c r="S65" s="78">
        <f t="shared" si="0"/>
        <v>16006</v>
      </c>
      <c r="T65" s="78" t="str">
        <f t="shared" si="1"/>
        <v>C</v>
      </c>
      <c r="U65" s="83" t="str">
        <f t="shared" si="2"/>
        <v>UMAMH69990015522651511A606363000D06LM200093-160.06Santore, Maria43733</v>
      </c>
    </row>
    <row r="66" spans="1:21" s="101" customFormat="1" ht="15.95" customHeight="1" x14ac:dyDescent="0.2">
      <c r="A66" s="118">
        <v>51</v>
      </c>
      <c r="B66" s="79" t="s">
        <v>23</v>
      </c>
      <c r="C66" s="80" t="s">
        <v>286</v>
      </c>
      <c r="D66" s="80" t="s">
        <v>414</v>
      </c>
      <c r="E66" s="161" t="str">
        <f>IF('Web Links'!N52&lt;&gt;0,'Web Links'!N52,)</f>
        <v>53105</v>
      </c>
      <c r="F66" s="161" t="str">
        <f>'Web Links'!O52</f>
        <v>A090700031</v>
      </c>
      <c r="G66" s="162" t="str">
        <f>'Web Links'!P52</f>
        <v>B03</v>
      </c>
      <c r="H66" s="163" t="str">
        <f>'Web Links'!Q52</f>
        <v/>
      </c>
      <c r="I66" s="161" t="str">
        <f>'Web Links'!R52</f>
        <v>S12100000001433</v>
      </c>
      <c r="J66" s="81" t="s">
        <v>412</v>
      </c>
      <c r="K66" s="82">
        <v>223.85</v>
      </c>
      <c r="L66" s="7" t="s">
        <v>413</v>
      </c>
      <c r="M66" s="7" t="s">
        <v>291</v>
      </c>
      <c r="N66" s="119">
        <v>43733</v>
      </c>
      <c r="O66" s="117" t="s">
        <v>318</v>
      </c>
      <c r="P66" s="117" t="s">
        <v>312</v>
      </c>
      <c r="Q66" s="117"/>
      <c r="R66" s="117"/>
      <c r="S66" s="78">
        <f t="shared" si="0"/>
        <v>22385</v>
      </c>
      <c r="T66" s="78" t="str">
        <f t="shared" si="1"/>
        <v>D</v>
      </c>
      <c r="U66" s="83" t="str">
        <f t="shared" si="2"/>
        <v>UMAMH75308016746253105A090700031B03S12100000001433LM200093223.85Santore, Maria43733</v>
      </c>
    </row>
    <row r="67" spans="1:21" s="101" customFormat="1" ht="15.95" customHeight="1" x14ac:dyDescent="0.2">
      <c r="A67" s="118">
        <v>52</v>
      </c>
      <c r="B67" s="79" t="s">
        <v>23</v>
      </c>
      <c r="C67" s="80" t="s">
        <v>287</v>
      </c>
      <c r="D67" s="80" t="s">
        <v>292</v>
      </c>
      <c r="E67" s="161" t="str">
        <f>IF('Web Links'!N53&lt;&gt;0,'Web Links'!N53,)</f>
        <v>51511</v>
      </c>
      <c r="F67" s="161" t="str">
        <f>'Web Links'!O53</f>
        <v>A606363000</v>
      </c>
      <c r="G67" s="162" t="str">
        <f>'Web Links'!P53</f>
        <v>D06</v>
      </c>
      <c r="H67" s="163" t="str">
        <f>'Web Links'!Q53</f>
        <v/>
      </c>
      <c r="I67" s="161" t="str">
        <f>'Web Links'!R53</f>
        <v/>
      </c>
      <c r="J67" s="81" t="s">
        <v>412</v>
      </c>
      <c r="K67" s="82">
        <v>-223.85</v>
      </c>
      <c r="L67" s="7" t="s">
        <v>413</v>
      </c>
      <c r="M67" s="7" t="s">
        <v>291</v>
      </c>
      <c r="N67" s="119">
        <v>43733</v>
      </c>
      <c r="O67" s="117" t="s">
        <v>318</v>
      </c>
      <c r="P67" s="117" t="s">
        <v>312</v>
      </c>
      <c r="Q67" s="117"/>
      <c r="R67" s="117"/>
      <c r="S67" s="78">
        <f t="shared" si="0"/>
        <v>22385</v>
      </c>
      <c r="T67" s="78" t="str">
        <f t="shared" si="1"/>
        <v>C</v>
      </c>
      <c r="U67" s="83" t="str">
        <f t="shared" si="2"/>
        <v>UMAMH69990015522651511A606363000D06LM200093-223.85Santore, Maria43733</v>
      </c>
    </row>
    <row r="68" spans="1:21" s="101" customFormat="1" ht="15.95" customHeight="1" x14ac:dyDescent="0.2">
      <c r="A68" s="118">
        <v>53</v>
      </c>
      <c r="B68" s="79" t="s">
        <v>23</v>
      </c>
      <c r="C68" s="80" t="s">
        <v>286</v>
      </c>
      <c r="D68" s="80" t="s">
        <v>417</v>
      </c>
      <c r="E68" s="161" t="str">
        <f>IF('Web Links'!N54&lt;&gt;0,'Web Links'!N54,)</f>
        <v>53800</v>
      </c>
      <c r="F68" s="161" t="str">
        <f>'Web Links'!O54</f>
        <v>A170580105</v>
      </c>
      <c r="G68" s="162" t="str">
        <f>'Web Links'!P54</f>
        <v>A01</v>
      </c>
      <c r="H68" s="163" t="str">
        <f>'Web Links'!Q54</f>
        <v/>
      </c>
      <c r="I68" s="161" t="str">
        <f>'Web Links'!R54</f>
        <v>U1035494000000A</v>
      </c>
      <c r="J68" s="81" t="s">
        <v>420</v>
      </c>
      <c r="K68" s="82">
        <v>18.600000000000001</v>
      </c>
      <c r="L68" s="7" t="s">
        <v>421</v>
      </c>
      <c r="M68" s="7" t="s">
        <v>291</v>
      </c>
      <c r="N68" s="119">
        <v>43733</v>
      </c>
      <c r="O68" s="117" t="s">
        <v>301</v>
      </c>
      <c r="P68" s="117" t="s">
        <v>312</v>
      </c>
      <c r="Q68" s="117"/>
      <c r="R68" s="117"/>
      <c r="S68" s="78">
        <f t="shared" si="0"/>
        <v>1860.0000000000002</v>
      </c>
      <c r="T68" s="78" t="str">
        <f t="shared" si="1"/>
        <v>D</v>
      </c>
      <c r="U68" s="83" t="str">
        <f t="shared" si="2"/>
        <v>UMAMH75308013153953800A170580105A01U1035494000000ALM20009418.6Schwartz, Lawrence43733</v>
      </c>
    </row>
    <row r="69" spans="1:21" s="101" customFormat="1" ht="15.95" customHeight="1" x14ac:dyDescent="0.2">
      <c r="A69" s="118">
        <v>54</v>
      </c>
      <c r="B69" s="79" t="s">
        <v>23</v>
      </c>
      <c r="C69" s="80" t="s">
        <v>287</v>
      </c>
      <c r="D69" s="80" t="s">
        <v>292</v>
      </c>
      <c r="E69" s="161" t="str">
        <f>IF('Web Links'!N55&lt;&gt;0,'Web Links'!N55,)</f>
        <v>51511</v>
      </c>
      <c r="F69" s="161" t="str">
        <f>'Web Links'!O55</f>
        <v>A606363000</v>
      </c>
      <c r="G69" s="162" t="str">
        <f>'Web Links'!P55</f>
        <v>D06</v>
      </c>
      <c r="H69" s="163" t="str">
        <f>'Web Links'!Q55</f>
        <v/>
      </c>
      <c r="I69" s="161" t="str">
        <f>'Web Links'!R55</f>
        <v/>
      </c>
      <c r="J69" s="81" t="s">
        <v>420</v>
      </c>
      <c r="K69" s="82">
        <v>-18.600000000000001</v>
      </c>
      <c r="L69" s="7" t="s">
        <v>421</v>
      </c>
      <c r="M69" s="7" t="s">
        <v>291</v>
      </c>
      <c r="N69" s="119">
        <v>43733</v>
      </c>
      <c r="O69" s="117" t="s">
        <v>301</v>
      </c>
      <c r="P69" s="117" t="s">
        <v>312</v>
      </c>
      <c r="Q69" s="117"/>
      <c r="R69" s="117"/>
      <c r="S69" s="78">
        <f t="shared" si="0"/>
        <v>1860.0000000000002</v>
      </c>
      <c r="T69" s="78" t="str">
        <f t="shared" si="1"/>
        <v>C</v>
      </c>
      <c r="U69" s="83" t="str">
        <f t="shared" si="2"/>
        <v>UMAMH69990015522651511A606363000D06LM200094-18.6Schwartz, Lawrence43733</v>
      </c>
    </row>
    <row r="70" spans="1:21" s="101" customFormat="1" ht="15.95" customHeight="1" x14ac:dyDescent="0.2">
      <c r="A70" s="118">
        <v>55</v>
      </c>
      <c r="B70" s="79" t="s">
        <v>23</v>
      </c>
      <c r="C70" s="80" t="s">
        <v>286</v>
      </c>
      <c r="D70" s="80" t="s">
        <v>422</v>
      </c>
      <c r="E70" s="161" t="str">
        <f>IF('Web Links'!N56&lt;&gt;0,'Web Links'!N56,)</f>
        <v>51345</v>
      </c>
      <c r="F70" s="161" t="str">
        <f>'Web Links'!O56</f>
        <v>A606101018</v>
      </c>
      <c r="G70" s="162" t="str">
        <f>'Web Links'!P56</f>
        <v>A01</v>
      </c>
      <c r="H70" s="163" t="str">
        <f>'Web Links'!Q56</f>
        <v>E0122</v>
      </c>
      <c r="I70" s="161" t="str">
        <f>'Web Links'!R56</f>
        <v/>
      </c>
      <c r="J70" s="81" t="s">
        <v>424</v>
      </c>
      <c r="K70" s="82">
        <v>307.7</v>
      </c>
      <c r="L70" s="7" t="s">
        <v>425</v>
      </c>
      <c r="M70" s="7" t="s">
        <v>291</v>
      </c>
      <c r="N70" s="119">
        <v>43733</v>
      </c>
      <c r="O70" s="117" t="s">
        <v>426</v>
      </c>
      <c r="P70" s="117" t="s">
        <v>312</v>
      </c>
      <c r="Q70" s="117"/>
      <c r="R70" s="117"/>
      <c r="S70" s="78">
        <f t="shared" si="0"/>
        <v>30770</v>
      </c>
      <c r="T70" s="78" t="str">
        <f t="shared" si="1"/>
        <v>D</v>
      </c>
      <c r="U70" s="83" t="str">
        <f t="shared" si="2"/>
        <v>UMAMH75308016918451345A606101018A01E0122LM200097307.7Srimathveeravalli43733</v>
      </c>
    </row>
    <row r="71" spans="1:21" s="101" customFormat="1" ht="15.95" customHeight="1" x14ac:dyDescent="0.2">
      <c r="A71" s="118">
        <v>56</v>
      </c>
      <c r="B71" s="79" t="s">
        <v>23</v>
      </c>
      <c r="C71" s="80" t="s">
        <v>287</v>
      </c>
      <c r="D71" s="80" t="s">
        <v>292</v>
      </c>
      <c r="E71" s="161" t="str">
        <f>IF('Web Links'!N57&lt;&gt;0,'Web Links'!N57,)</f>
        <v>51511</v>
      </c>
      <c r="F71" s="161" t="str">
        <f>'Web Links'!O57</f>
        <v>A606363000</v>
      </c>
      <c r="G71" s="162" t="str">
        <f>'Web Links'!P57</f>
        <v>D06</v>
      </c>
      <c r="H71" s="163" t="str">
        <f>'Web Links'!Q57</f>
        <v/>
      </c>
      <c r="I71" s="161" t="str">
        <f>'Web Links'!R57</f>
        <v/>
      </c>
      <c r="J71" s="81" t="s">
        <v>424</v>
      </c>
      <c r="K71" s="82">
        <v>-307.7</v>
      </c>
      <c r="L71" s="7" t="s">
        <v>425</v>
      </c>
      <c r="M71" s="7" t="s">
        <v>291</v>
      </c>
      <c r="N71" s="119">
        <v>43733</v>
      </c>
      <c r="O71" s="117" t="s">
        <v>426</v>
      </c>
      <c r="P71" s="117" t="s">
        <v>312</v>
      </c>
      <c r="Q71" s="117"/>
      <c r="R71" s="117"/>
      <c r="S71" s="78">
        <f t="shared" si="0"/>
        <v>30770</v>
      </c>
      <c r="T71" s="78" t="str">
        <f t="shared" si="1"/>
        <v>C</v>
      </c>
      <c r="U71" s="83" t="str">
        <f t="shared" si="2"/>
        <v>UMAMH69990015522651511A606363000D06LM200097-307.7Srimathveeravalli43733</v>
      </c>
    </row>
    <row r="72" spans="1:21" s="101" customFormat="1" ht="15.95" customHeight="1" x14ac:dyDescent="0.2">
      <c r="A72" s="118">
        <v>57</v>
      </c>
      <c r="B72" s="79" t="s">
        <v>23</v>
      </c>
      <c r="C72" s="80" t="s">
        <v>286</v>
      </c>
      <c r="D72" s="80" t="s">
        <v>427</v>
      </c>
      <c r="E72" s="161" t="str">
        <f>IF('Web Links'!N58&lt;&gt;0,'Web Links'!N58,)</f>
        <v>53105</v>
      </c>
      <c r="F72" s="161" t="str">
        <f>'Web Links'!O58</f>
        <v>A091000070</v>
      </c>
      <c r="G72" s="162" t="str">
        <f>'Web Links'!P58</f>
        <v>B03</v>
      </c>
      <c r="H72" s="163" t="str">
        <f>'Web Links'!Q58</f>
        <v/>
      </c>
      <c r="I72" s="161" t="str">
        <f>'Web Links'!R58</f>
        <v>S12100000001262</v>
      </c>
      <c r="J72" s="81" t="s">
        <v>430</v>
      </c>
      <c r="K72" s="82">
        <v>452.8</v>
      </c>
      <c r="L72" s="7" t="s">
        <v>431</v>
      </c>
      <c r="M72" s="7" t="s">
        <v>291</v>
      </c>
      <c r="N72" s="119">
        <v>43734</v>
      </c>
      <c r="O72" s="117" t="s">
        <v>432</v>
      </c>
      <c r="P72" s="117" t="s">
        <v>312</v>
      </c>
      <c r="Q72" s="117"/>
      <c r="R72" s="117"/>
      <c r="S72" s="78">
        <f t="shared" si="0"/>
        <v>45280</v>
      </c>
      <c r="T72" s="78" t="str">
        <f t="shared" si="1"/>
        <v>D</v>
      </c>
      <c r="U72" s="83" t="str">
        <f t="shared" si="2"/>
        <v>UMAMH75308016197353105A091000070B03S12100000001262LM200099452.8Sun, Yubing43734</v>
      </c>
    </row>
    <row r="73" spans="1:21" s="101" customFormat="1" ht="15.95" customHeight="1" x14ac:dyDescent="0.2">
      <c r="A73" s="118">
        <v>58</v>
      </c>
      <c r="B73" s="79" t="s">
        <v>23</v>
      </c>
      <c r="C73" s="80" t="s">
        <v>287</v>
      </c>
      <c r="D73" s="80" t="s">
        <v>292</v>
      </c>
      <c r="E73" s="161" t="str">
        <f>IF('Web Links'!N59&lt;&gt;0,'Web Links'!N59,)</f>
        <v>51511</v>
      </c>
      <c r="F73" s="161" t="str">
        <f>'Web Links'!O59</f>
        <v>A606363000</v>
      </c>
      <c r="G73" s="162" t="str">
        <f>'Web Links'!P59</f>
        <v>D06</v>
      </c>
      <c r="H73" s="163" t="str">
        <f>'Web Links'!Q59</f>
        <v/>
      </c>
      <c r="I73" s="161" t="str">
        <f>'Web Links'!R59</f>
        <v/>
      </c>
      <c r="J73" s="81" t="s">
        <v>430</v>
      </c>
      <c r="K73" s="82">
        <v>-452.8</v>
      </c>
      <c r="L73" s="7" t="s">
        <v>431</v>
      </c>
      <c r="M73" s="7" t="s">
        <v>291</v>
      </c>
      <c r="N73" s="119">
        <v>43734</v>
      </c>
      <c r="O73" s="117" t="s">
        <v>432</v>
      </c>
      <c r="P73" s="117" t="s">
        <v>312</v>
      </c>
      <c r="Q73" s="117"/>
      <c r="R73" s="117"/>
      <c r="S73" s="78">
        <f t="shared" si="0"/>
        <v>45280</v>
      </c>
      <c r="T73" s="78" t="str">
        <f t="shared" si="1"/>
        <v>C</v>
      </c>
      <c r="U73" s="83" t="str">
        <f t="shared" si="2"/>
        <v>UMAMH69990015522651511A606363000D06LM200099-452.8Sun, Yubing43734</v>
      </c>
    </row>
    <row r="74" spans="1:21" s="101" customFormat="1" ht="15.95" customHeight="1" x14ac:dyDescent="0.2">
      <c r="A74" s="118">
        <v>59</v>
      </c>
      <c r="B74" s="79" t="s">
        <v>23</v>
      </c>
      <c r="C74" s="80" t="s">
        <v>286</v>
      </c>
      <c r="D74" s="80" t="s">
        <v>307</v>
      </c>
      <c r="E74" s="161" t="str">
        <f>IF('Web Links'!N60&lt;&gt;0,'Web Links'!N60,)</f>
        <v>53106</v>
      </c>
      <c r="F74" s="161" t="str">
        <f>'Web Links'!O60</f>
        <v>A121400015</v>
      </c>
      <c r="G74" s="162" t="str">
        <f>'Web Links'!P60</f>
        <v>B03</v>
      </c>
      <c r="H74" s="163" t="str">
        <f>'Web Links'!Q60</f>
        <v/>
      </c>
      <c r="I74" s="161" t="str">
        <f>'Web Links'!R60</f>
        <v>S11110000000257</v>
      </c>
      <c r="J74" s="81" t="s">
        <v>433</v>
      </c>
      <c r="K74" s="82">
        <v>176.7</v>
      </c>
      <c r="L74" s="7" t="s">
        <v>310</v>
      </c>
      <c r="M74" s="7" t="s">
        <v>291</v>
      </c>
      <c r="N74" s="119">
        <v>43734</v>
      </c>
      <c r="O74" s="117" t="s">
        <v>311</v>
      </c>
      <c r="P74" s="117" t="s">
        <v>312</v>
      </c>
      <c r="Q74" s="117"/>
      <c r="R74" s="117"/>
      <c r="S74" s="78">
        <f t="shared" si="0"/>
        <v>17670</v>
      </c>
      <c r="T74" s="78" t="str">
        <f t="shared" si="1"/>
        <v>D</v>
      </c>
      <c r="U74" s="83" t="str">
        <f t="shared" si="2"/>
        <v>UMAMH75308015854353106A121400015B03S11110000000257LM200102176.7Timme-Laragy, Alicia43734</v>
      </c>
    </row>
    <row r="75" spans="1:21" s="101" customFormat="1" ht="15.95" customHeight="1" x14ac:dyDescent="0.2">
      <c r="A75" s="118">
        <v>60</v>
      </c>
      <c r="B75" s="79" t="s">
        <v>23</v>
      </c>
      <c r="C75" s="80" t="s">
        <v>287</v>
      </c>
      <c r="D75" s="80" t="s">
        <v>292</v>
      </c>
      <c r="E75" s="161" t="str">
        <f>IF('Web Links'!N61&lt;&gt;0,'Web Links'!N61,)</f>
        <v>51511</v>
      </c>
      <c r="F75" s="161" t="str">
        <f>'Web Links'!O61</f>
        <v>A606363000</v>
      </c>
      <c r="G75" s="162" t="str">
        <f>'Web Links'!P61</f>
        <v>D06</v>
      </c>
      <c r="H75" s="163" t="str">
        <f>'Web Links'!Q61</f>
        <v/>
      </c>
      <c r="I75" s="161" t="str">
        <f>'Web Links'!R61</f>
        <v/>
      </c>
      <c r="J75" s="81" t="s">
        <v>433</v>
      </c>
      <c r="K75" s="82">
        <v>-176.7</v>
      </c>
      <c r="L75" s="7" t="s">
        <v>310</v>
      </c>
      <c r="M75" s="7" t="s">
        <v>291</v>
      </c>
      <c r="N75" s="119">
        <v>43734</v>
      </c>
      <c r="O75" s="117" t="s">
        <v>311</v>
      </c>
      <c r="P75" s="117" t="s">
        <v>312</v>
      </c>
      <c r="Q75" s="117"/>
      <c r="R75" s="117"/>
      <c r="S75" s="78">
        <f t="shared" si="0"/>
        <v>17670</v>
      </c>
      <c r="T75" s="78" t="str">
        <f t="shared" si="1"/>
        <v>C</v>
      </c>
      <c r="U75" s="83" t="str">
        <f t="shared" si="2"/>
        <v>UMAMH69990015522651511A606363000D06LM200102-176.7Timme-Laragy, Alicia43734</v>
      </c>
    </row>
    <row r="76" spans="1:21" s="101" customFormat="1" ht="15.95" customHeight="1" x14ac:dyDescent="0.2">
      <c r="A76" s="118">
        <v>61</v>
      </c>
      <c r="B76" s="79" t="s">
        <v>23</v>
      </c>
      <c r="C76" s="80" t="s">
        <v>286</v>
      </c>
      <c r="D76" s="80" t="s">
        <v>434</v>
      </c>
      <c r="E76" s="161" t="str">
        <f>IF('Web Links'!N62&lt;&gt;0,'Web Links'!N62,)</f>
        <v>53105</v>
      </c>
      <c r="F76" s="161" t="str">
        <f>'Web Links'!O62</f>
        <v>A606200002</v>
      </c>
      <c r="G76" s="162" t="str">
        <f>'Web Links'!P62</f>
        <v>B03</v>
      </c>
      <c r="H76" s="163" t="str">
        <f>'Web Links'!Q62</f>
        <v/>
      </c>
      <c r="I76" s="161" t="str">
        <f>'Web Links'!R62</f>
        <v>S12100000001289</v>
      </c>
      <c r="J76" s="81" t="s">
        <v>437</v>
      </c>
      <c r="K76" s="82">
        <v>161.93</v>
      </c>
      <c r="L76" s="7" t="s">
        <v>438</v>
      </c>
      <c r="M76" s="7" t="s">
        <v>291</v>
      </c>
      <c r="N76" s="119">
        <v>43734</v>
      </c>
      <c r="O76" s="117" t="s">
        <v>439</v>
      </c>
      <c r="P76" s="117" t="s">
        <v>312</v>
      </c>
      <c r="Q76" s="117"/>
      <c r="R76" s="117"/>
      <c r="S76" s="78">
        <f t="shared" si="0"/>
        <v>16193</v>
      </c>
      <c r="T76" s="78" t="str">
        <f t="shared" si="1"/>
        <v>D</v>
      </c>
      <c r="U76" s="83" t="str">
        <f t="shared" si="2"/>
        <v>UMAMH75308016222753105A606200002B03S12100000001289LM200100161.93Thayumanavan, Thai43734</v>
      </c>
    </row>
    <row r="77" spans="1:21" s="101" customFormat="1" ht="15.95" customHeight="1" x14ac:dyDescent="0.2">
      <c r="A77" s="118">
        <v>62</v>
      </c>
      <c r="B77" s="79" t="s">
        <v>23</v>
      </c>
      <c r="C77" s="80" t="s">
        <v>287</v>
      </c>
      <c r="D77" s="80" t="s">
        <v>292</v>
      </c>
      <c r="E77" s="161" t="str">
        <f>IF('Web Links'!N63&lt;&gt;0,'Web Links'!N63,)</f>
        <v>51511</v>
      </c>
      <c r="F77" s="161" t="str">
        <f>'Web Links'!O63</f>
        <v>A606363000</v>
      </c>
      <c r="G77" s="162" t="str">
        <f>'Web Links'!P63</f>
        <v>D06</v>
      </c>
      <c r="H77" s="163" t="str">
        <f>'Web Links'!Q63</f>
        <v/>
      </c>
      <c r="I77" s="161" t="str">
        <f>'Web Links'!R63</f>
        <v/>
      </c>
      <c r="J77" s="81" t="s">
        <v>437</v>
      </c>
      <c r="K77" s="82">
        <v>-161.93</v>
      </c>
      <c r="L77" s="7" t="s">
        <v>438</v>
      </c>
      <c r="M77" s="7" t="s">
        <v>291</v>
      </c>
      <c r="N77" s="119">
        <v>43734</v>
      </c>
      <c r="O77" s="117" t="s">
        <v>439</v>
      </c>
      <c r="P77" s="117" t="s">
        <v>312</v>
      </c>
      <c r="Q77" s="117"/>
      <c r="R77" s="117"/>
      <c r="S77" s="78">
        <f t="shared" si="0"/>
        <v>16193</v>
      </c>
      <c r="T77" s="78" t="str">
        <f t="shared" si="1"/>
        <v>C</v>
      </c>
      <c r="U77" s="83" t="str">
        <f t="shared" si="2"/>
        <v>UMAMH69990015522651511A606363000D06LM200100-161.93Thayumanavan, Thai43734</v>
      </c>
    </row>
    <row r="78" spans="1:21" s="101" customFormat="1" ht="15.95" customHeight="1" x14ac:dyDescent="0.2">
      <c r="A78" s="118">
        <v>63</v>
      </c>
      <c r="B78" s="79" t="s">
        <v>23</v>
      </c>
      <c r="C78" s="80" t="s">
        <v>286</v>
      </c>
      <c r="D78" s="80" t="s">
        <v>440</v>
      </c>
      <c r="E78" s="161" t="str">
        <f>IF('Web Links'!N64&lt;&gt;0,'Web Links'!N64,)</f>
        <v>53106</v>
      </c>
      <c r="F78" s="161" t="str">
        <f>'Web Links'!O64</f>
        <v>A190500040</v>
      </c>
      <c r="G78" s="162" t="str">
        <f>'Web Links'!P64</f>
        <v>B03</v>
      </c>
      <c r="H78" s="163" t="str">
        <f>'Web Links'!Q64</f>
        <v/>
      </c>
      <c r="I78" s="161" t="str">
        <f>'Web Links'!R64</f>
        <v>S11110000000396</v>
      </c>
      <c r="J78" s="81" t="s">
        <v>437</v>
      </c>
      <c r="K78" s="82">
        <v>74.069999999999993</v>
      </c>
      <c r="L78" s="7" t="s">
        <v>438</v>
      </c>
      <c r="M78" s="7" t="s">
        <v>291</v>
      </c>
      <c r="N78" s="119">
        <v>43734</v>
      </c>
      <c r="O78" s="117" t="s">
        <v>439</v>
      </c>
      <c r="P78" s="117" t="s">
        <v>312</v>
      </c>
      <c r="Q78" s="117"/>
      <c r="R78" s="117"/>
      <c r="S78" s="78">
        <f t="shared" si="0"/>
        <v>7406.9999999999991</v>
      </c>
      <c r="T78" s="78" t="str">
        <f t="shared" si="1"/>
        <v>D</v>
      </c>
      <c r="U78" s="83" t="str">
        <f t="shared" si="2"/>
        <v>UMAMH75308016896553106A190500040B03S11110000000396LM20010074.07Thayumanavan, Thai43734</v>
      </c>
    </row>
    <row r="79" spans="1:21" s="101" customFormat="1" ht="15.95" customHeight="1" x14ac:dyDescent="0.2">
      <c r="A79" s="118">
        <v>64</v>
      </c>
      <c r="B79" s="79" t="s">
        <v>23</v>
      </c>
      <c r="C79" s="80" t="s">
        <v>287</v>
      </c>
      <c r="D79" s="80" t="s">
        <v>292</v>
      </c>
      <c r="E79" s="161" t="str">
        <f>IF('Web Links'!N65&lt;&gt;0,'Web Links'!N65,)</f>
        <v>51511</v>
      </c>
      <c r="F79" s="161" t="str">
        <f>'Web Links'!O65</f>
        <v>A606363000</v>
      </c>
      <c r="G79" s="162" t="str">
        <f>'Web Links'!P65</f>
        <v>D06</v>
      </c>
      <c r="H79" s="163" t="str">
        <f>'Web Links'!Q65</f>
        <v/>
      </c>
      <c r="I79" s="161" t="str">
        <f>'Web Links'!R65</f>
        <v/>
      </c>
      <c r="J79" s="81" t="s">
        <v>437</v>
      </c>
      <c r="K79" s="82">
        <v>-74.069999999999993</v>
      </c>
      <c r="L79" s="7" t="s">
        <v>438</v>
      </c>
      <c r="M79" s="7" t="s">
        <v>291</v>
      </c>
      <c r="N79" s="119">
        <v>43734</v>
      </c>
      <c r="O79" s="117" t="s">
        <v>439</v>
      </c>
      <c r="P79" s="117" t="s">
        <v>312</v>
      </c>
      <c r="Q79" s="117"/>
      <c r="R79" s="117"/>
      <c r="S79" s="78">
        <f t="shared" si="0"/>
        <v>7406.9999999999991</v>
      </c>
      <c r="T79" s="78" t="str">
        <f t="shared" si="1"/>
        <v>C</v>
      </c>
      <c r="U79" s="83" t="str">
        <f t="shared" si="2"/>
        <v>UMAMH69990015522651511A606363000D06LM200100-74.07Thayumanavan, Thai43734</v>
      </c>
    </row>
    <row r="80" spans="1:21" s="101" customFormat="1" ht="15.95" customHeight="1" x14ac:dyDescent="0.2">
      <c r="A80" s="118">
        <v>65</v>
      </c>
      <c r="B80" s="79" t="s">
        <v>23</v>
      </c>
      <c r="C80" s="80" t="s">
        <v>286</v>
      </c>
      <c r="D80" s="80" t="s">
        <v>440</v>
      </c>
      <c r="E80" s="161" t="str">
        <f>IF('Web Links'!N66&lt;&gt;0,'Web Links'!N66,)</f>
        <v>53106</v>
      </c>
      <c r="F80" s="161" t="str">
        <f>'Web Links'!O66</f>
        <v>A190500040</v>
      </c>
      <c r="G80" s="162" t="str">
        <f>'Web Links'!P66</f>
        <v>B03</v>
      </c>
      <c r="H80" s="163" t="str">
        <f>'Web Links'!Q66</f>
        <v/>
      </c>
      <c r="I80" s="161" t="str">
        <f>'Web Links'!R66</f>
        <v>S11110000000396</v>
      </c>
      <c r="J80" s="81" t="s">
        <v>443</v>
      </c>
      <c r="K80" s="82">
        <v>225.3</v>
      </c>
      <c r="L80" s="7" t="s">
        <v>438</v>
      </c>
      <c r="M80" s="7" t="s">
        <v>291</v>
      </c>
      <c r="N80" s="119">
        <v>43734</v>
      </c>
      <c r="O80" s="117" t="s">
        <v>439</v>
      </c>
      <c r="P80" s="117" t="s">
        <v>312</v>
      </c>
      <c r="Q80" s="117"/>
      <c r="R80" s="117"/>
      <c r="S80" s="78">
        <f t="shared" ref="S80:S143" si="4">ROUND(ABS(K80),2)*100</f>
        <v>22530</v>
      </c>
      <c r="T80" s="78" t="str">
        <f t="shared" ref="T80:T143" si="5">IF(K80&gt;0,"D","C")</f>
        <v>D</v>
      </c>
      <c r="U80" s="83" t="str">
        <f t="shared" ref="U80:U143" si="6">B80&amp;C80&amp;D80&amp;E80&amp;F80&amp;G80&amp;H80&amp;I80&amp;J80&amp;K80&amp;L80&amp;N80</f>
        <v>UMAMH75308016896553106A190500040B03S11110000000396LM200101225.3Thayumanavan, Thai43734</v>
      </c>
    </row>
    <row r="81" spans="1:21" s="101" customFormat="1" ht="15.95" customHeight="1" x14ac:dyDescent="0.2">
      <c r="A81" s="118">
        <v>66</v>
      </c>
      <c r="B81" s="79" t="s">
        <v>23</v>
      </c>
      <c r="C81" s="80" t="s">
        <v>287</v>
      </c>
      <c r="D81" s="80" t="s">
        <v>292</v>
      </c>
      <c r="E81" s="161" t="str">
        <f>IF('Web Links'!N67&lt;&gt;0,'Web Links'!N67,)</f>
        <v>51511</v>
      </c>
      <c r="F81" s="161" t="str">
        <f>'Web Links'!O67</f>
        <v>A606363000</v>
      </c>
      <c r="G81" s="162" t="str">
        <f>'Web Links'!P67</f>
        <v>D06</v>
      </c>
      <c r="H81" s="163" t="str">
        <f>'Web Links'!Q67</f>
        <v/>
      </c>
      <c r="I81" s="161" t="str">
        <f>'Web Links'!R67</f>
        <v/>
      </c>
      <c r="J81" s="81" t="s">
        <v>443</v>
      </c>
      <c r="K81" s="82">
        <v>-225.3</v>
      </c>
      <c r="L81" s="7" t="s">
        <v>438</v>
      </c>
      <c r="M81" s="7" t="s">
        <v>291</v>
      </c>
      <c r="N81" s="119">
        <v>43734</v>
      </c>
      <c r="O81" s="117" t="s">
        <v>439</v>
      </c>
      <c r="P81" s="117" t="s">
        <v>312</v>
      </c>
      <c r="Q81" s="117"/>
      <c r="R81" s="117"/>
      <c r="S81" s="78">
        <f t="shared" si="4"/>
        <v>22530</v>
      </c>
      <c r="T81" s="78" t="str">
        <f t="shared" si="5"/>
        <v>C</v>
      </c>
      <c r="U81" s="83" t="str">
        <f t="shared" si="6"/>
        <v>UMAMH69990015522651511A606363000D06LM200101-225.3Thayumanavan, Thai43734</v>
      </c>
    </row>
    <row r="82" spans="1:21" s="101" customFormat="1" ht="15.95" customHeight="1" x14ac:dyDescent="0.2">
      <c r="A82" s="118">
        <v>67</v>
      </c>
      <c r="B82" s="79" t="s">
        <v>23</v>
      </c>
      <c r="C82" s="80" t="s">
        <v>286</v>
      </c>
      <c r="D82" s="80" t="s">
        <v>444</v>
      </c>
      <c r="E82" s="161" t="str">
        <f>IF('Web Links'!N68&lt;&gt;0,'Web Links'!N68,)</f>
        <v>53106</v>
      </c>
      <c r="F82" s="161" t="str">
        <f>'Web Links'!O68</f>
        <v>A010400020</v>
      </c>
      <c r="G82" s="162" t="str">
        <f>'Web Links'!P68</f>
        <v>B03</v>
      </c>
      <c r="H82" s="163" t="str">
        <f>'Web Links'!Q68</f>
        <v/>
      </c>
      <c r="I82" s="161" t="str">
        <f>'Web Links'!R68</f>
        <v>S11110000000203</v>
      </c>
      <c r="J82" s="81" t="s">
        <v>447</v>
      </c>
      <c r="K82" s="82">
        <v>5.0999999999999996</v>
      </c>
      <c r="L82" s="7" t="s">
        <v>448</v>
      </c>
      <c r="M82" s="7" t="s">
        <v>291</v>
      </c>
      <c r="N82" s="119">
        <v>43734</v>
      </c>
      <c r="O82" s="117" t="s">
        <v>345</v>
      </c>
      <c r="P82" s="117" t="s">
        <v>312</v>
      </c>
      <c r="Q82" s="117"/>
      <c r="R82" s="117"/>
      <c r="S82" s="78">
        <f t="shared" si="4"/>
        <v>509.99999999999994</v>
      </c>
      <c r="T82" s="78" t="str">
        <f t="shared" si="5"/>
        <v>D</v>
      </c>
      <c r="U82" s="83" t="str">
        <f t="shared" si="6"/>
        <v>UMAMH75308015012553106A010400020B03S11110000000203LM2001035.1Visconti, Pablo43734</v>
      </c>
    </row>
    <row r="83" spans="1:21" s="101" customFormat="1" ht="15.95" customHeight="1" x14ac:dyDescent="0.2">
      <c r="A83" s="118">
        <v>68</v>
      </c>
      <c r="B83" s="79" t="s">
        <v>23</v>
      </c>
      <c r="C83" s="80" t="s">
        <v>287</v>
      </c>
      <c r="D83" s="80" t="s">
        <v>292</v>
      </c>
      <c r="E83" s="161" t="str">
        <f>IF('Web Links'!N69&lt;&gt;0,'Web Links'!N69,)</f>
        <v>51511</v>
      </c>
      <c r="F83" s="161" t="str">
        <f>'Web Links'!O69</f>
        <v>A606363000</v>
      </c>
      <c r="G83" s="162" t="str">
        <f>'Web Links'!P69</f>
        <v>D06</v>
      </c>
      <c r="H83" s="163" t="str">
        <f>'Web Links'!Q69</f>
        <v/>
      </c>
      <c r="I83" s="161" t="str">
        <f>'Web Links'!R69</f>
        <v/>
      </c>
      <c r="J83" s="81" t="s">
        <v>447</v>
      </c>
      <c r="K83" s="82">
        <v>-5.0999999999999996</v>
      </c>
      <c r="L83" s="7" t="s">
        <v>448</v>
      </c>
      <c r="M83" s="7" t="s">
        <v>291</v>
      </c>
      <c r="N83" s="119">
        <v>43734</v>
      </c>
      <c r="O83" s="117" t="s">
        <v>345</v>
      </c>
      <c r="P83" s="117" t="s">
        <v>312</v>
      </c>
      <c r="Q83" s="117"/>
      <c r="R83" s="117"/>
      <c r="S83" s="78">
        <f t="shared" si="4"/>
        <v>509.99999999999994</v>
      </c>
      <c r="T83" s="78" t="str">
        <f t="shared" si="5"/>
        <v>C</v>
      </c>
      <c r="U83" s="83" t="str">
        <f t="shared" si="6"/>
        <v>UMAMH69990015522651511A606363000D06LM200103-5.1Visconti, Pablo43734</v>
      </c>
    </row>
    <row r="84" spans="1:21" s="101" customFormat="1" ht="15.95" customHeight="1" x14ac:dyDescent="0.2">
      <c r="A84" s="118">
        <v>69</v>
      </c>
      <c r="B84" s="79" t="s">
        <v>23</v>
      </c>
      <c r="C84" s="80" t="s">
        <v>286</v>
      </c>
      <c r="D84" s="80" t="s">
        <v>449</v>
      </c>
      <c r="E84" s="161" t="str">
        <f>IF('Web Links'!N70&lt;&gt;0,'Web Links'!N70,)</f>
        <v>51344</v>
      </c>
      <c r="F84" s="161" t="str">
        <f>'Web Links'!O70</f>
        <v>A190500054</v>
      </c>
      <c r="G84" s="162" t="str">
        <f>'Web Links'!P70</f>
        <v>A01</v>
      </c>
      <c r="H84" s="163" t="str">
        <f>'Web Links'!Q70</f>
        <v>E0819</v>
      </c>
      <c r="I84" s="161" t="str">
        <f>'Web Links'!R70</f>
        <v/>
      </c>
      <c r="J84" s="81" t="s">
        <v>452</v>
      </c>
      <c r="K84" s="82">
        <v>355.8</v>
      </c>
      <c r="L84" s="7" t="s">
        <v>453</v>
      </c>
      <c r="M84" s="7" t="s">
        <v>291</v>
      </c>
      <c r="N84" s="119">
        <v>43734</v>
      </c>
      <c r="O84" s="117" t="s">
        <v>439</v>
      </c>
      <c r="P84" s="117" t="s">
        <v>312</v>
      </c>
      <c r="Q84" s="117"/>
      <c r="R84" s="117"/>
      <c r="S84" s="78">
        <f t="shared" si="4"/>
        <v>35580</v>
      </c>
      <c r="T84" s="78" t="str">
        <f t="shared" si="5"/>
        <v>D</v>
      </c>
      <c r="U84" s="83" t="str">
        <f t="shared" si="6"/>
        <v>UMAMH75308015885051344A190500054A01E0819LM200104355.8You, Mingxu43734</v>
      </c>
    </row>
    <row r="85" spans="1:21" s="101" customFormat="1" ht="15.95" customHeight="1" x14ac:dyDescent="0.2">
      <c r="A85" s="118">
        <v>70</v>
      </c>
      <c r="B85" s="79" t="s">
        <v>23</v>
      </c>
      <c r="C85" s="80" t="s">
        <v>287</v>
      </c>
      <c r="D85" s="80" t="s">
        <v>292</v>
      </c>
      <c r="E85" s="161" t="str">
        <f>IF('Web Links'!N71&lt;&gt;0,'Web Links'!N71,)</f>
        <v>51511</v>
      </c>
      <c r="F85" s="161" t="str">
        <f>'Web Links'!O71</f>
        <v>A606363000</v>
      </c>
      <c r="G85" s="162" t="str">
        <f>'Web Links'!P71</f>
        <v>D06</v>
      </c>
      <c r="H85" s="163" t="str">
        <f>'Web Links'!Q71</f>
        <v/>
      </c>
      <c r="I85" s="161" t="str">
        <f>'Web Links'!R71</f>
        <v/>
      </c>
      <c r="J85" s="81" t="s">
        <v>452</v>
      </c>
      <c r="K85" s="82">
        <v>-355.8</v>
      </c>
      <c r="L85" s="7" t="s">
        <v>453</v>
      </c>
      <c r="M85" s="7" t="s">
        <v>291</v>
      </c>
      <c r="N85" s="119">
        <v>43734</v>
      </c>
      <c r="O85" s="117" t="s">
        <v>439</v>
      </c>
      <c r="P85" s="117" t="s">
        <v>312</v>
      </c>
      <c r="Q85" s="117"/>
      <c r="R85" s="117"/>
      <c r="S85" s="78">
        <f t="shared" si="4"/>
        <v>35580</v>
      </c>
      <c r="T85" s="78" t="str">
        <f t="shared" si="5"/>
        <v>C</v>
      </c>
      <c r="U85" s="83" t="str">
        <f t="shared" si="6"/>
        <v>UMAMH69990015522651511A606363000D06LM200104-355.8You, Mingxu43734</v>
      </c>
    </row>
    <row r="86" spans="1:21" s="101" customFormat="1" ht="15.95" customHeight="1" x14ac:dyDescent="0.2">
      <c r="A86" s="118">
        <v>71</v>
      </c>
      <c r="B86" s="79" t="s">
        <v>23</v>
      </c>
      <c r="C86" s="80" t="s">
        <v>286</v>
      </c>
      <c r="D86" s="80" t="s">
        <v>454</v>
      </c>
      <c r="E86" s="161" t="str">
        <f>IF('Web Links'!N72&lt;&gt;0,'Web Links'!N72,)</f>
        <v>52132</v>
      </c>
      <c r="F86" s="161" t="str">
        <f>'Web Links'!O72</f>
        <v>A606300000</v>
      </c>
      <c r="G86" s="162" t="str">
        <f>'Web Links'!P72</f>
        <v>A01</v>
      </c>
      <c r="H86" s="163" t="str">
        <f>'Web Links'!Q72</f>
        <v/>
      </c>
      <c r="I86" s="161" t="str">
        <f>'Web Links'!R72</f>
        <v/>
      </c>
      <c r="J86" s="81" t="s">
        <v>452</v>
      </c>
      <c r="K86" s="82">
        <v>446.4</v>
      </c>
      <c r="L86" s="7" t="s">
        <v>453</v>
      </c>
      <c r="M86" s="7" t="s">
        <v>291</v>
      </c>
      <c r="N86" s="119">
        <v>43734</v>
      </c>
      <c r="O86" s="117" t="s">
        <v>439</v>
      </c>
      <c r="P86" s="117" t="s">
        <v>312</v>
      </c>
      <c r="Q86" s="117"/>
      <c r="R86" s="117"/>
      <c r="S86" s="78">
        <f t="shared" si="4"/>
        <v>44640</v>
      </c>
      <c r="T86" s="78" t="str">
        <f t="shared" si="5"/>
        <v>D</v>
      </c>
      <c r="U86" s="83" t="str">
        <f t="shared" si="6"/>
        <v>UMAMH75308015003552132A606300000A01LM200104446.4You, Mingxu43734</v>
      </c>
    </row>
    <row r="87" spans="1:21" s="101" customFormat="1" ht="15.95" customHeight="1" x14ac:dyDescent="0.2">
      <c r="A87" s="118">
        <v>72</v>
      </c>
      <c r="B87" s="79" t="s">
        <v>23</v>
      </c>
      <c r="C87" s="80" t="s">
        <v>287</v>
      </c>
      <c r="D87" s="80" t="s">
        <v>292</v>
      </c>
      <c r="E87" s="161" t="str">
        <f>IF('Web Links'!N73&lt;&gt;0,'Web Links'!N73,)</f>
        <v>51511</v>
      </c>
      <c r="F87" s="161" t="str">
        <f>'Web Links'!O73</f>
        <v>A606363000</v>
      </c>
      <c r="G87" s="162" t="str">
        <f>'Web Links'!P73</f>
        <v>D06</v>
      </c>
      <c r="H87" s="163" t="str">
        <f>'Web Links'!Q73</f>
        <v/>
      </c>
      <c r="I87" s="161" t="str">
        <f>'Web Links'!R73</f>
        <v/>
      </c>
      <c r="J87" s="81" t="s">
        <v>452</v>
      </c>
      <c r="K87" s="82">
        <v>-446.4</v>
      </c>
      <c r="L87" s="7" t="s">
        <v>453</v>
      </c>
      <c r="M87" s="7" t="s">
        <v>291</v>
      </c>
      <c r="N87" s="119">
        <v>43734</v>
      </c>
      <c r="O87" s="117" t="s">
        <v>439</v>
      </c>
      <c r="P87" s="117" t="s">
        <v>312</v>
      </c>
      <c r="Q87" s="117"/>
      <c r="R87" s="117"/>
      <c r="S87" s="78">
        <f t="shared" si="4"/>
        <v>44640</v>
      </c>
      <c r="T87" s="78" t="str">
        <f t="shared" si="5"/>
        <v>C</v>
      </c>
      <c r="U87" s="83" t="str">
        <f t="shared" si="6"/>
        <v>UMAMH69990015522651511A606363000D06LM200104-446.4You, Mingxu43734</v>
      </c>
    </row>
    <row r="88" spans="1:21" s="101" customFormat="1" ht="15.95" customHeight="1" x14ac:dyDescent="0.2">
      <c r="A88" s="118">
        <v>73</v>
      </c>
      <c r="B88" s="79" t="s">
        <v>23</v>
      </c>
      <c r="C88" s="80" t="s">
        <v>286</v>
      </c>
      <c r="D88" s="80" t="s">
        <v>456</v>
      </c>
      <c r="E88" s="161" t="str">
        <f>IF('Web Links'!N74&lt;&gt;0,'Web Links'!N74,)</f>
        <v>53416</v>
      </c>
      <c r="F88" s="161" t="str">
        <f>'Web Links'!O74</f>
        <v>A190500054</v>
      </c>
      <c r="G88" s="162" t="str">
        <f>'Web Links'!P74</f>
        <v>B03</v>
      </c>
      <c r="H88" s="163" t="str">
        <f>'Web Links'!Q74</f>
        <v/>
      </c>
      <c r="I88" s="161" t="str">
        <f>'Web Links'!R74</f>
        <v>S19000000000575</v>
      </c>
      <c r="J88" s="81" t="s">
        <v>458</v>
      </c>
      <c r="K88" s="82">
        <v>335.1</v>
      </c>
      <c r="L88" s="7" t="s">
        <v>453</v>
      </c>
      <c r="M88" s="7" t="s">
        <v>291</v>
      </c>
      <c r="N88" s="119">
        <v>43734</v>
      </c>
      <c r="O88" s="117" t="s">
        <v>439</v>
      </c>
      <c r="P88" s="117" t="s">
        <v>312</v>
      </c>
      <c r="Q88" s="117"/>
      <c r="R88" s="117"/>
      <c r="S88" s="78">
        <f t="shared" si="4"/>
        <v>33510</v>
      </c>
      <c r="T88" s="78" t="str">
        <f t="shared" si="5"/>
        <v>D</v>
      </c>
      <c r="U88" s="83" t="str">
        <f t="shared" si="6"/>
        <v>UMAMH75308016446753416A190500054B03S19000000000575LM200105335.1You, Mingxu43734</v>
      </c>
    </row>
    <row r="89" spans="1:21" s="101" customFormat="1" ht="15.95" customHeight="1" x14ac:dyDescent="0.2">
      <c r="A89" s="118">
        <v>74</v>
      </c>
      <c r="B89" s="79" t="s">
        <v>23</v>
      </c>
      <c r="C89" s="80" t="s">
        <v>287</v>
      </c>
      <c r="D89" s="80" t="s">
        <v>292</v>
      </c>
      <c r="E89" s="161" t="str">
        <f>IF('Web Links'!N75&lt;&gt;0,'Web Links'!N75,)</f>
        <v>51511</v>
      </c>
      <c r="F89" s="161" t="str">
        <f>'Web Links'!O75</f>
        <v>A606363000</v>
      </c>
      <c r="G89" s="162" t="str">
        <f>'Web Links'!P75</f>
        <v>D06</v>
      </c>
      <c r="H89" s="163" t="str">
        <f>'Web Links'!Q75</f>
        <v/>
      </c>
      <c r="I89" s="161" t="str">
        <f>'Web Links'!R75</f>
        <v/>
      </c>
      <c r="J89" s="81" t="s">
        <v>458</v>
      </c>
      <c r="K89" s="82">
        <v>-335.1</v>
      </c>
      <c r="L89" s="7" t="s">
        <v>453</v>
      </c>
      <c r="M89" s="7" t="s">
        <v>291</v>
      </c>
      <c r="N89" s="119">
        <v>43734</v>
      </c>
      <c r="O89" s="117" t="s">
        <v>439</v>
      </c>
      <c r="P89" s="117" t="s">
        <v>312</v>
      </c>
      <c r="Q89" s="117"/>
      <c r="R89" s="117"/>
      <c r="S89" s="78">
        <f t="shared" si="4"/>
        <v>33510</v>
      </c>
      <c r="T89" s="78" t="str">
        <f t="shared" si="5"/>
        <v>C</v>
      </c>
      <c r="U89" s="83" t="str">
        <f t="shared" si="6"/>
        <v>UMAMH69990015522651511A606363000D06LM200105-335.1You, Mingxu43734</v>
      </c>
    </row>
    <row r="90" spans="1:21" s="101" customFormat="1" ht="15.95" customHeight="1" x14ac:dyDescent="0.2">
      <c r="A90" s="118" t="str">
        <f t="shared" ref="A81:A144" si="7">IF(U90=""," ",A89+1)</f>
        <v xml:space="preserve"> </v>
      </c>
      <c r="B90" s="79"/>
      <c r="C90" s="80"/>
      <c r="D90" s="80"/>
      <c r="E90" s="8"/>
      <c r="F90" s="8"/>
      <c r="G90" s="15"/>
      <c r="H90" s="35"/>
      <c r="I90" s="8"/>
      <c r="J90" s="81"/>
      <c r="K90" s="82"/>
      <c r="L90" s="7"/>
      <c r="M90" s="7"/>
      <c r="N90" s="119"/>
      <c r="O90" s="117"/>
      <c r="P90" s="117"/>
      <c r="Q90" s="117"/>
      <c r="R90" s="117"/>
      <c r="S90" s="78">
        <f t="shared" si="4"/>
        <v>0</v>
      </c>
      <c r="T90" s="78" t="str">
        <f t="shared" si="5"/>
        <v>C</v>
      </c>
      <c r="U90" s="83" t="str">
        <f t="shared" si="6"/>
        <v/>
      </c>
    </row>
    <row r="91" spans="1:21" s="101" customFormat="1" ht="15.95" customHeight="1" x14ac:dyDescent="0.2">
      <c r="A91" s="118" t="str">
        <f t="shared" si="7"/>
        <v xml:space="preserve"> </v>
      </c>
      <c r="B91" s="79"/>
      <c r="C91" s="80"/>
      <c r="D91" s="80"/>
      <c r="E91" s="8"/>
      <c r="F91" s="8"/>
      <c r="G91" s="15"/>
      <c r="H91" s="35"/>
      <c r="I91" s="8"/>
      <c r="J91" s="81"/>
      <c r="K91" s="82"/>
      <c r="L91" s="7"/>
      <c r="M91" s="7"/>
      <c r="N91" s="119"/>
      <c r="O91" s="117"/>
      <c r="P91" s="117"/>
      <c r="Q91" s="117"/>
      <c r="R91" s="117"/>
      <c r="S91" s="78">
        <f t="shared" si="4"/>
        <v>0</v>
      </c>
      <c r="T91" s="78" t="str">
        <f t="shared" si="5"/>
        <v>C</v>
      </c>
      <c r="U91" s="83" t="str">
        <f t="shared" si="6"/>
        <v/>
      </c>
    </row>
    <row r="92" spans="1:21" s="101" customFormat="1" ht="15.95" customHeight="1" x14ac:dyDescent="0.2">
      <c r="A92" s="118" t="str">
        <f t="shared" si="7"/>
        <v xml:space="preserve"> </v>
      </c>
      <c r="B92" s="79"/>
      <c r="C92" s="80"/>
      <c r="D92" s="80"/>
      <c r="E92" s="8"/>
      <c r="F92" s="8"/>
      <c r="G92" s="15"/>
      <c r="H92" s="35"/>
      <c r="I92" s="8"/>
      <c r="J92" s="81"/>
      <c r="K92" s="82"/>
      <c r="L92" s="7"/>
      <c r="M92" s="7"/>
      <c r="N92" s="119"/>
      <c r="O92" s="117"/>
      <c r="P92" s="117"/>
      <c r="Q92" s="117"/>
      <c r="R92" s="117"/>
      <c r="S92" s="78">
        <f t="shared" si="4"/>
        <v>0</v>
      </c>
      <c r="T92" s="78" t="str">
        <f t="shared" si="5"/>
        <v>C</v>
      </c>
      <c r="U92" s="83" t="str">
        <f t="shared" si="6"/>
        <v/>
      </c>
    </row>
    <row r="93" spans="1:21" s="101" customFormat="1" ht="15.95" customHeight="1" x14ac:dyDescent="0.2">
      <c r="A93" s="118" t="str">
        <f t="shared" si="7"/>
        <v xml:space="preserve"> </v>
      </c>
      <c r="B93" s="79"/>
      <c r="C93" s="80"/>
      <c r="D93" s="80"/>
      <c r="E93" s="8"/>
      <c r="F93" s="8"/>
      <c r="G93" s="15"/>
      <c r="H93" s="35"/>
      <c r="I93" s="8"/>
      <c r="J93" s="81"/>
      <c r="K93" s="82"/>
      <c r="L93" s="7"/>
      <c r="M93" s="7"/>
      <c r="N93" s="119"/>
      <c r="O93" s="117"/>
      <c r="P93" s="117"/>
      <c r="Q93" s="117"/>
      <c r="R93" s="117"/>
      <c r="S93" s="78">
        <f t="shared" si="4"/>
        <v>0</v>
      </c>
      <c r="T93" s="78" t="str">
        <f t="shared" si="5"/>
        <v>C</v>
      </c>
      <c r="U93" s="83" t="str">
        <f t="shared" si="6"/>
        <v/>
      </c>
    </row>
    <row r="94" spans="1:21" s="101" customFormat="1" ht="15.95" customHeight="1" x14ac:dyDescent="0.2">
      <c r="A94" s="118" t="str">
        <f t="shared" si="7"/>
        <v xml:space="preserve"> </v>
      </c>
      <c r="B94" s="79"/>
      <c r="C94" s="80"/>
      <c r="D94" s="80"/>
      <c r="E94" s="8"/>
      <c r="F94" s="8"/>
      <c r="G94" s="15"/>
      <c r="H94" s="35"/>
      <c r="I94" s="8"/>
      <c r="J94" s="81"/>
      <c r="K94" s="82"/>
      <c r="L94" s="7"/>
      <c r="M94" s="7"/>
      <c r="N94" s="119"/>
      <c r="O94" s="117"/>
      <c r="P94" s="117"/>
      <c r="Q94" s="117"/>
      <c r="R94" s="117"/>
      <c r="S94" s="78">
        <f t="shared" si="4"/>
        <v>0</v>
      </c>
      <c r="T94" s="78" t="str">
        <f t="shared" si="5"/>
        <v>C</v>
      </c>
      <c r="U94" s="83" t="str">
        <f t="shared" si="6"/>
        <v/>
      </c>
    </row>
    <row r="95" spans="1:21" s="101" customFormat="1" ht="15.95" customHeight="1" x14ac:dyDescent="0.2">
      <c r="A95" s="118" t="str">
        <f t="shared" si="7"/>
        <v xml:space="preserve"> </v>
      </c>
      <c r="B95" s="79"/>
      <c r="C95" s="80"/>
      <c r="D95" s="80"/>
      <c r="E95" s="8"/>
      <c r="F95" s="8"/>
      <c r="G95" s="15"/>
      <c r="H95" s="35"/>
      <c r="I95" s="8"/>
      <c r="J95" s="81"/>
      <c r="K95" s="82"/>
      <c r="L95" s="7"/>
      <c r="M95" s="7"/>
      <c r="N95" s="119"/>
      <c r="O95" s="117"/>
      <c r="P95" s="117"/>
      <c r="Q95" s="117"/>
      <c r="R95" s="117"/>
      <c r="S95" s="78">
        <f t="shared" si="4"/>
        <v>0</v>
      </c>
      <c r="T95" s="78" t="str">
        <f t="shared" si="5"/>
        <v>C</v>
      </c>
      <c r="U95" s="83" t="str">
        <f t="shared" si="6"/>
        <v/>
      </c>
    </row>
    <row r="96" spans="1:21" s="101" customFormat="1" ht="15.95" customHeight="1" x14ac:dyDescent="0.2">
      <c r="A96" s="118" t="str">
        <f t="shared" si="7"/>
        <v xml:space="preserve"> </v>
      </c>
      <c r="B96" s="79"/>
      <c r="C96" s="80"/>
      <c r="D96" s="80"/>
      <c r="E96" s="8"/>
      <c r="F96" s="8"/>
      <c r="G96" s="15"/>
      <c r="H96" s="35"/>
      <c r="I96" s="8"/>
      <c r="J96" s="81"/>
      <c r="K96" s="82"/>
      <c r="L96" s="7"/>
      <c r="M96" s="7"/>
      <c r="N96" s="119"/>
      <c r="O96" s="117"/>
      <c r="P96" s="117"/>
      <c r="Q96" s="117"/>
      <c r="R96" s="117"/>
      <c r="S96" s="78">
        <f t="shared" si="4"/>
        <v>0</v>
      </c>
      <c r="T96" s="78" t="str">
        <f t="shared" si="5"/>
        <v>C</v>
      </c>
      <c r="U96" s="83" t="str">
        <f t="shared" si="6"/>
        <v/>
      </c>
    </row>
    <row r="97" spans="1:21" s="101" customFormat="1" ht="15.95" customHeight="1" x14ac:dyDescent="0.2">
      <c r="A97" s="118" t="str">
        <f t="shared" si="7"/>
        <v xml:space="preserve"> </v>
      </c>
      <c r="B97" s="79"/>
      <c r="C97" s="80"/>
      <c r="D97" s="80"/>
      <c r="E97" s="8"/>
      <c r="F97" s="8"/>
      <c r="G97" s="15"/>
      <c r="H97" s="35"/>
      <c r="I97" s="8"/>
      <c r="J97" s="81"/>
      <c r="K97" s="82"/>
      <c r="L97" s="7"/>
      <c r="M97" s="7"/>
      <c r="N97" s="119"/>
      <c r="O97" s="117"/>
      <c r="P97" s="117"/>
      <c r="Q97" s="117"/>
      <c r="R97" s="117"/>
      <c r="S97" s="78">
        <f t="shared" si="4"/>
        <v>0</v>
      </c>
      <c r="T97" s="78" t="str">
        <f t="shared" si="5"/>
        <v>C</v>
      </c>
      <c r="U97" s="83" t="str">
        <f t="shared" si="6"/>
        <v/>
      </c>
    </row>
    <row r="98" spans="1:21" s="101" customFormat="1" ht="15.95" customHeight="1" x14ac:dyDescent="0.2">
      <c r="A98" s="118" t="str">
        <f t="shared" si="7"/>
        <v xml:space="preserve"> </v>
      </c>
      <c r="B98" s="79"/>
      <c r="C98" s="80"/>
      <c r="D98" s="80"/>
      <c r="E98" s="8"/>
      <c r="F98" s="8"/>
      <c r="G98" s="15"/>
      <c r="H98" s="35"/>
      <c r="I98" s="8"/>
      <c r="J98" s="81"/>
      <c r="K98" s="82"/>
      <c r="L98" s="7"/>
      <c r="M98" s="7"/>
      <c r="N98" s="119"/>
      <c r="O98" s="117"/>
      <c r="P98" s="117"/>
      <c r="Q98" s="117"/>
      <c r="R98" s="117"/>
      <c r="S98" s="78">
        <f t="shared" si="4"/>
        <v>0</v>
      </c>
      <c r="T98" s="78" t="str">
        <f t="shared" si="5"/>
        <v>C</v>
      </c>
      <c r="U98" s="83" t="str">
        <f t="shared" si="6"/>
        <v/>
      </c>
    </row>
    <row r="99" spans="1:21" s="101" customFormat="1" ht="15.95" customHeight="1" x14ac:dyDescent="0.2">
      <c r="A99" s="118" t="str">
        <f t="shared" si="7"/>
        <v xml:space="preserve"> </v>
      </c>
      <c r="B99" s="79"/>
      <c r="C99" s="80"/>
      <c r="D99" s="80"/>
      <c r="E99" s="8"/>
      <c r="F99" s="8"/>
      <c r="G99" s="15"/>
      <c r="H99" s="35"/>
      <c r="I99" s="8"/>
      <c r="J99" s="81"/>
      <c r="K99" s="82"/>
      <c r="L99" s="7"/>
      <c r="M99" s="7"/>
      <c r="N99" s="119"/>
      <c r="O99" s="117"/>
      <c r="P99" s="117"/>
      <c r="Q99" s="117"/>
      <c r="R99" s="117"/>
      <c r="S99" s="78">
        <f t="shared" si="4"/>
        <v>0</v>
      </c>
      <c r="T99" s="78" t="str">
        <f t="shared" si="5"/>
        <v>C</v>
      </c>
      <c r="U99" s="83" t="str">
        <f t="shared" si="6"/>
        <v/>
      </c>
    </row>
    <row r="100" spans="1:21" s="101" customFormat="1" ht="15.95" customHeight="1" x14ac:dyDescent="0.2">
      <c r="A100" s="118" t="str">
        <f t="shared" si="7"/>
        <v xml:space="preserve"> </v>
      </c>
      <c r="B100" s="79"/>
      <c r="C100" s="80"/>
      <c r="D100" s="80"/>
      <c r="E100" s="8"/>
      <c r="F100" s="8"/>
      <c r="G100" s="15"/>
      <c r="H100" s="35"/>
      <c r="I100" s="8"/>
      <c r="J100" s="81"/>
      <c r="K100" s="82"/>
      <c r="L100" s="7"/>
      <c r="M100" s="7"/>
      <c r="N100" s="119"/>
      <c r="O100" s="117"/>
      <c r="P100" s="117"/>
      <c r="Q100" s="117"/>
      <c r="R100" s="117"/>
      <c r="S100" s="78">
        <f t="shared" si="4"/>
        <v>0</v>
      </c>
      <c r="T100" s="78" t="str">
        <f t="shared" si="5"/>
        <v>C</v>
      </c>
      <c r="U100" s="83" t="str">
        <f t="shared" si="6"/>
        <v/>
      </c>
    </row>
    <row r="101" spans="1:21" s="101" customFormat="1" ht="15.95" customHeight="1" x14ac:dyDescent="0.2">
      <c r="A101" s="118" t="str">
        <f t="shared" si="7"/>
        <v xml:space="preserve"> </v>
      </c>
      <c r="B101" s="79"/>
      <c r="C101" s="80"/>
      <c r="D101" s="80"/>
      <c r="E101" s="8"/>
      <c r="F101" s="8"/>
      <c r="G101" s="15"/>
      <c r="H101" s="35"/>
      <c r="I101" s="8"/>
      <c r="J101" s="81"/>
      <c r="K101" s="82"/>
      <c r="L101" s="7"/>
      <c r="M101" s="7"/>
      <c r="N101" s="119"/>
      <c r="O101" s="117"/>
      <c r="P101" s="117"/>
      <c r="Q101" s="117"/>
      <c r="R101" s="117"/>
      <c r="S101" s="78">
        <f t="shared" si="4"/>
        <v>0</v>
      </c>
      <c r="T101" s="78" t="str">
        <f t="shared" si="5"/>
        <v>C</v>
      </c>
      <c r="U101" s="83" t="str">
        <f t="shared" si="6"/>
        <v/>
      </c>
    </row>
    <row r="102" spans="1:21" s="101" customFormat="1" ht="15.95" customHeight="1" x14ac:dyDescent="0.2">
      <c r="A102" s="118" t="str">
        <f t="shared" si="7"/>
        <v xml:space="preserve"> </v>
      </c>
      <c r="B102" s="79"/>
      <c r="C102" s="80"/>
      <c r="D102" s="80"/>
      <c r="E102" s="8"/>
      <c r="F102" s="8"/>
      <c r="G102" s="15"/>
      <c r="H102" s="35"/>
      <c r="I102" s="8"/>
      <c r="J102" s="81"/>
      <c r="K102" s="82"/>
      <c r="L102" s="7"/>
      <c r="M102" s="7"/>
      <c r="N102" s="119"/>
      <c r="O102" s="117"/>
      <c r="P102" s="117"/>
      <c r="Q102" s="117"/>
      <c r="R102" s="117"/>
      <c r="S102" s="78">
        <f t="shared" si="4"/>
        <v>0</v>
      </c>
      <c r="T102" s="78" t="str">
        <f t="shared" si="5"/>
        <v>C</v>
      </c>
      <c r="U102" s="83" t="str">
        <f t="shared" si="6"/>
        <v/>
      </c>
    </row>
    <row r="103" spans="1:21" s="101" customFormat="1" ht="15.95" customHeight="1" x14ac:dyDescent="0.2">
      <c r="A103" s="118" t="str">
        <f t="shared" si="7"/>
        <v xml:space="preserve"> </v>
      </c>
      <c r="B103" s="79"/>
      <c r="C103" s="80"/>
      <c r="D103" s="80"/>
      <c r="E103" s="8"/>
      <c r="F103" s="8"/>
      <c r="G103" s="15"/>
      <c r="H103" s="35"/>
      <c r="I103" s="8"/>
      <c r="J103" s="81"/>
      <c r="K103" s="82"/>
      <c r="L103" s="7"/>
      <c r="M103" s="7"/>
      <c r="N103" s="119"/>
      <c r="O103" s="117"/>
      <c r="P103" s="117"/>
      <c r="Q103" s="117"/>
      <c r="R103" s="117"/>
      <c r="S103" s="78">
        <f t="shared" si="4"/>
        <v>0</v>
      </c>
      <c r="T103" s="78" t="str">
        <f t="shared" si="5"/>
        <v>C</v>
      </c>
      <c r="U103" s="83" t="str">
        <f t="shared" si="6"/>
        <v/>
      </c>
    </row>
    <row r="104" spans="1:21" s="101" customFormat="1" ht="15.95" customHeight="1" x14ac:dyDescent="0.2">
      <c r="A104" s="118" t="str">
        <f t="shared" si="7"/>
        <v xml:space="preserve"> </v>
      </c>
      <c r="B104" s="79"/>
      <c r="C104" s="80"/>
      <c r="D104" s="80"/>
      <c r="E104" s="8"/>
      <c r="F104" s="8"/>
      <c r="G104" s="15"/>
      <c r="H104" s="35"/>
      <c r="I104" s="8"/>
      <c r="J104" s="81"/>
      <c r="K104" s="82"/>
      <c r="L104" s="7"/>
      <c r="M104" s="7"/>
      <c r="N104" s="119"/>
      <c r="O104" s="117"/>
      <c r="P104" s="117"/>
      <c r="Q104" s="117"/>
      <c r="R104" s="117"/>
      <c r="S104" s="78">
        <f t="shared" si="4"/>
        <v>0</v>
      </c>
      <c r="T104" s="78" t="str">
        <f t="shared" si="5"/>
        <v>C</v>
      </c>
      <c r="U104" s="83" t="str">
        <f t="shared" si="6"/>
        <v/>
      </c>
    </row>
    <row r="105" spans="1:21" s="101" customFormat="1" ht="15.95" customHeight="1" x14ac:dyDescent="0.2">
      <c r="A105" s="118" t="str">
        <f t="shared" si="7"/>
        <v xml:space="preserve"> </v>
      </c>
      <c r="B105" s="79"/>
      <c r="C105" s="80"/>
      <c r="D105" s="80"/>
      <c r="E105" s="8"/>
      <c r="F105" s="8"/>
      <c r="G105" s="15"/>
      <c r="H105" s="35"/>
      <c r="I105" s="8"/>
      <c r="J105" s="81"/>
      <c r="K105" s="82"/>
      <c r="L105" s="7"/>
      <c r="M105" s="7"/>
      <c r="N105" s="119"/>
      <c r="O105" s="117"/>
      <c r="P105" s="117"/>
      <c r="Q105" s="117"/>
      <c r="R105" s="117"/>
      <c r="S105" s="78">
        <f t="shared" si="4"/>
        <v>0</v>
      </c>
      <c r="T105" s="78" t="str">
        <f t="shared" si="5"/>
        <v>C</v>
      </c>
      <c r="U105" s="83" t="str">
        <f t="shared" si="6"/>
        <v/>
      </c>
    </row>
    <row r="106" spans="1:21" s="101" customFormat="1" ht="15.95" customHeight="1" x14ac:dyDescent="0.2">
      <c r="A106" s="118" t="str">
        <f t="shared" si="7"/>
        <v xml:space="preserve"> </v>
      </c>
      <c r="B106" s="79"/>
      <c r="C106" s="80"/>
      <c r="D106" s="80"/>
      <c r="E106" s="8"/>
      <c r="F106" s="8"/>
      <c r="G106" s="15"/>
      <c r="H106" s="35"/>
      <c r="I106" s="8"/>
      <c r="J106" s="81"/>
      <c r="K106" s="82"/>
      <c r="L106" s="7"/>
      <c r="M106" s="7"/>
      <c r="N106" s="119"/>
      <c r="O106" s="117"/>
      <c r="P106" s="117"/>
      <c r="Q106" s="117"/>
      <c r="R106" s="117"/>
      <c r="S106" s="78">
        <f t="shared" si="4"/>
        <v>0</v>
      </c>
      <c r="T106" s="78" t="str">
        <f t="shared" si="5"/>
        <v>C</v>
      </c>
      <c r="U106" s="83" t="str">
        <f t="shared" si="6"/>
        <v/>
      </c>
    </row>
    <row r="107" spans="1:21" s="101" customFormat="1" ht="15.95" customHeight="1" x14ac:dyDescent="0.2">
      <c r="A107" s="118" t="str">
        <f t="shared" si="7"/>
        <v xml:space="preserve"> </v>
      </c>
      <c r="B107" s="79"/>
      <c r="C107" s="80"/>
      <c r="D107" s="80"/>
      <c r="E107" s="8"/>
      <c r="F107" s="8"/>
      <c r="G107" s="15"/>
      <c r="H107" s="35"/>
      <c r="I107" s="8"/>
      <c r="J107" s="81"/>
      <c r="K107" s="82"/>
      <c r="L107" s="7"/>
      <c r="M107" s="7"/>
      <c r="N107" s="119"/>
      <c r="O107" s="117"/>
      <c r="P107" s="117"/>
      <c r="Q107" s="117"/>
      <c r="R107" s="117"/>
      <c r="S107" s="78">
        <f t="shared" si="4"/>
        <v>0</v>
      </c>
      <c r="T107" s="78" t="str">
        <f t="shared" si="5"/>
        <v>C</v>
      </c>
      <c r="U107" s="83" t="str">
        <f t="shared" si="6"/>
        <v/>
      </c>
    </row>
    <row r="108" spans="1:21" s="101" customFormat="1" ht="15.95" customHeight="1" x14ac:dyDescent="0.2">
      <c r="A108" s="118" t="str">
        <f t="shared" si="7"/>
        <v xml:space="preserve"> </v>
      </c>
      <c r="B108" s="79"/>
      <c r="C108" s="80"/>
      <c r="D108" s="80"/>
      <c r="E108" s="8"/>
      <c r="F108" s="8"/>
      <c r="G108" s="15"/>
      <c r="H108" s="35"/>
      <c r="I108" s="8"/>
      <c r="J108" s="81"/>
      <c r="K108" s="82"/>
      <c r="L108" s="7"/>
      <c r="M108" s="7"/>
      <c r="N108" s="119"/>
      <c r="O108" s="117"/>
      <c r="P108" s="117"/>
      <c r="Q108" s="117"/>
      <c r="R108" s="117"/>
      <c r="S108" s="78">
        <f t="shared" si="4"/>
        <v>0</v>
      </c>
      <c r="T108" s="78" t="str">
        <f t="shared" si="5"/>
        <v>C</v>
      </c>
      <c r="U108" s="83" t="str">
        <f t="shared" si="6"/>
        <v/>
      </c>
    </row>
    <row r="109" spans="1:21" s="101" customFormat="1" ht="15.95" customHeight="1" x14ac:dyDescent="0.2">
      <c r="A109" s="118" t="str">
        <f t="shared" si="7"/>
        <v xml:space="preserve"> </v>
      </c>
      <c r="B109" s="79"/>
      <c r="C109" s="80"/>
      <c r="D109" s="80"/>
      <c r="E109" s="8"/>
      <c r="F109" s="8"/>
      <c r="G109" s="15"/>
      <c r="H109" s="35"/>
      <c r="I109" s="8"/>
      <c r="J109" s="81"/>
      <c r="K109" s="82"/>
      <c r="L109" s="7"/>
      <c r="M109" s="7"/>
      <c r="N109" s="119"/>
      <c r="O109" s="117"/>
      <c r="P109" s="117"/>
      <c r="Q109" s="117"/>
      <c r="R109" s="117"/>
      <c r="S109" s="78">
        <f t="shared" si="4"/>
        <v>0</v>
      </c>
      <c r="T109" s="78" t="str">
        <f t="shared" si="5"/>
        <v>C</v>
      </c>
      <c r="U109" s="83" t="str">
        <f t="shared" si="6"/>
        <v/>
      </c>
    </row>
    <row r="110" spans="1:21" s="101" customFormat="1" ht="15.95" customHeight="1" x14ac:dyDescent="0.2">
      <c r="A110" s="118" t="str">
        <f t="shared" si="7"/>
        <v xml:space="preserve"> </v>
      </c>
      <c r="B110" s="79"/>
      <c r="C110" s="80"/>
      <c r="D110" s="80"/>
      <c r="E110" s="8"/>
      <c r="F110" s="8"/>
      <c r="G110" s="15"/>
      <c r="H110" s="35"/>
      <c r="I110" s="8"/>
      <c r="J110" s="81"/>
      <c r="K110" s="82"/>
      <c r="L110" s="7"/>
      <c r="M110" s="7"/>
      <c r="N110" s="119"/>
      <c r="O110" s="117"/>
      <c r="P110" s="117"/>
      <c r="Q110" s="117"/>
      <c r="R110" s="117"/>
      <c r="S110" s="78">
        <f t="shared" si="4"/>
        <v>0</v>
      </c>
      <c r="T110" s="78" t="str">
        <f t="shared" si="5"/>
        <v>C</v>
      </c>
      <c r="U110" s="83" t="str">
        <f t="shared" si="6"/>
        <v/>
      </c>
    </row>
    <row r="111" spans="1:21" s="101" customFormat="1" ht="15.95" customHeight="1" x14ac:dyDescent="0.2">
      <c r="A111" s="118" t="str">
        <f t="shared" si="7"/>
        <v xml:space="preserve"> </v>
      </c>
      <c r="B111" s="79"/>
      <c r="C111" s="80"/>
      <c r="D111" s="80"/>
      <c r="E111" s="8"/>
      <c r="F111" s="8"/>
      <c r="G111" s="15"/>
      <c r="H111" s="35"/>
      <c r="I111" s="8"/>
      <c r="J111" s="81"/>
      <c r="K111" s="82"/>
      <c r="L111" s="7"/>
      <c r="M111" s="7"/>
      <c r="N111" s="119"/>
      <c r="O111" s="117"/>
      <c r="P111" s="117"/>
      <c r="Q111" s="117"/>
      <c r="R111" s="117"/>
      <c r="S111" s="78">
        <f t="shared" si="4"/>
        <v>0</v>
      </c>
      <c r="T111" s="78" t="str">
        <f t="shared" si="5"/>
        <v>C</v>
      </c>
      <c r="U111" s="83" t="str">
        <f t="shared" si="6"/>
        <v/>
      </c>
    </row>
    <row r="112" spans="1:21" s="101" customFormat="1" ht="15.95" customHeight="1" x14ac:dyDescent="0.2">
      <c r="A112" s="118" t="str">
        <f t="shared" si="7"/>
        <v xml:space="preserve"> </v>
      </c>
      <c r="B112" s="79"/>
      <c r="C112" s="80"/>
      <c r="D112" s="80"/>
      <c r="E112" s="8"/>
      <c r="F112" s="8"/>
      <c r="G112" s="15"/>
      <c r="H112" s="35"/>
      <c r="I112" s="8"/>
      <c r="J112" s="81"/>
      <c r="K112" s="82"/>
      <c r="L112" s="7"/>
      <c r="M112" s="7"/>
      <c r="N112" s="119"/>
      <c r="O112" s="117"/>
      <c r="P112" s="117"/>
      <c r="Q112" s="117"/>
      <c r="R112" s="117"/>
      <c r="S112" s="78">
        <f t="shared" si="4"/>
        <v>0</v>
      </c>
      <c r="T112" s="78" t="str">
        <f t="shared" si="5"/>
        <v>C</v>
      </c>
      <c r="U112" s="83" t="str">
        <f t="shared" si="6"/>
        <v/>
      </c>
    </row>
    <row r="113" spans="1:21" s="101" customFormat="1" ht="15.95" customHeight="1" x14ac:dyDescent="0.2">
      <c r="A113" s="118" t="str">
        <f t="shared" si="7"/>
        <v xml:space="preserve"> </v>
      </c>
      <c r="B113" s="79"/>
      <c r="C113" s="80"/>
      <c r="D113" s="80"/>
      <c r="E113" s="8"/>
      <c r="F113" s="8"/>
      <c r="G113" s="15"/>
      <c r="H113" s="35"/>
      <c r="I113" s="8"/>
      <c r="J113" s="81"/>
      <c r="K113" s="82"/>
      <c r="L113" s="7"/>
      <c r="M113" s="7"/>
      <c r="N113" s="119"/>
      <c r="O113" s="117"/>
      <c r="P113" s="117"/>
      <c r="Q113" s="117"/>
      <c r="R113" s="117"/>
      <c r="S113" s="78">
        <f t="shared" si="4"/>
        <v>0</v>
      </c>
      <c r="T113" s="78" t="str">
        <f t="shared" si="5"/>
        <v>C</v>
      </c>
      <c r="U113" s="83" t="str">
        <f t="shared" si="6"/>
        <v/>
      </c>
    </row>
    <row r="114" spans="1:21" s="101" customFormat="1" ht="15.95" customHeight="1" x14ac:dyDescent="0.2">
      <c r="A114" s="118" t="str">
        <f t="shared" si="7"/>
        <v xml:space="preserve"> </v>
      </c>
      <c r="B114" s="79"/>
      <c r="C114" s="80"/>
      <c r="D114" s="80"/>
      <c r="E114" s="8"/>
      <c r="F114" s="8"/>
      <c r="G114" s="15"/>
      <c r="H114" s="35"/>
      <c r="I114" s="8"/>
      <c r="J114" s="81"/>
      <c r="K114" s="82"/>
      <c r="L114" s="7"/>
      <c r="M114" s="7"/>
      <c r="N114" s="119"/>
      <c r="O114" s="117"/>
      <c r="P114" s="117"/>
      <c r="Q114" s="117"/>
      <c r="R114" s="117"/>
      <c r="S114" s="78">
        <f t="shared" si="4"/>
        <v>0</v>
      </c>
      <c r="T114" s="78" t="str">
        <f t="shared" si="5"/>
        <v>C</v>
      </c>
      <c r="U114" s="83" t="str">
        <f t="shared" si="6"/>
        <v/>
      </c>
    </row>
    <row r="115" spans="1:21" s="101" customFormat="1" ht="15.95" customHeight="1" x14ac:dyDescent="0.2">
      <c r="A115" s="118" t="str">
        <f t="shared" si="7"/>
        <v xml:space="preserve"> </v>
      </c>
      <c r="B115" s="79"/>
      <c r="C115" s="80"/>
      <c r="D115" s="80"/>
      <c r="E115" s="8"/>
      <c r="F115" s="8"/>
      <c r="G115" s="15"/>
      <c r="H115" s="35"/>
      <c r="I115" s="8"/>
      <c r="J115" s="81"/>
      <c r="K115" s="82"/>
      <c r="L115" s="7"/>
      <c r="M115" s="7"/>
      <c r="N115" s="119"/>
      <c r="O115" s="117"/>
      <c r="P115" s="117"/>
      <c r="Q115" s="117"/>
      <c r="R115" s="117"/>
      <c r="S115" s="78">
        <f t="shared" si="4"/>
        <v>0</v>
      </c>
      <c r="T115" s="78" t="str">
        <f t="shared" si="5"/>
        <v>C</v>
      </c>
      <c r="U115" s="83" t="str">
        <f t="shared" si="6"/>
        <v/>
      </c>
    </row>
    <row r="116" spans="1:21" s="101" customFormat="1" ht="15.95" customHeight="1" x14ac:dyDescent="0.2">
      <c r="A116" s="118" t="str">
        <f t="shared" si="7"/>
        <v xml:space="preserve"> </v>
      </c>
      <c r="B116" s="79"/>
      <c r="C116" s="80"/>
      <c r="D116" s="80"/>
      <c r="E116" s="8"/>
      <c r="F116" s="8"/>
      <c r="G116" s="15"/>
      <c r="H116" s="35"/>
      <c r="I116" s="8"/>
      <c r="J116" s="81"/>
      <c r="K116" s="82"/>
      <c r="L116" s="7"/>
      <c r="M116" s="7"/>
      <c r="N116" s="119"/>
      <c r="O116" s="117"/>
      <c r="P116" s="117"/>
      <c r="Q116" s="117"/>
      <c r="R116" s="117"/>
      <c r="S116" s="78">
        <f t="shared" si="4"/>
        <v>0</v>
      </c>
      <c r="T116" s="78" t="str">
        <f t="shared" si="5"/>
        <v>C</v>
      </c>
      <c r="U116" s="83" t="str">
        <f t="shared" si="6"/>
        <v/>
      </c>
    </row>
    <row r="117" spans="1:21" s="101" customFormat="1" ht="15.95" customHeight="1" x14ac:dyDescent="0.2">
      <c r="A117" s="118" t="str">
        <f t="shared" si="7"/>
        <v xml:space="preserve"> </v>
      </c>
      <c r="B117" s="79"/>
      <c r="C117" s="80"/>
      <c r="D117" s="80"/>
      <c r="E117" s="8"/>
      <c r="F117" s="8"/>
      <c r="G117" s="15"/>
      <c r="H117" s="35"/>
      <c r="I117" s="8"/>
      <c r="J117" s="81"/>
      <c r="K117" s="82"/>
      <c r="L117" s="7"/>
      <c r="M117" s="7"/>
      <c r="N117" s="119"/>
      <c r="O117" s="117"/>
      <c r="P117" s="117"/>
      <c r="Q117" s="117"/>
      <c r="R117" s="117"/>
      <c r="S117" s="78">
        <f t="shared" si="4"/>
        <v>0</v>
      </c>
      <c r="T117" s="78" t="str">
        <f t="shared" si="5"/>
        <v>C</v>
      </c>
      <c r="U117" s="83" t="str">
        <f t="shared" si="6"/>
        <v/>
      </c>
    </row>
    <row r="118" spans="1:21" s="101" customFormat="1" ht="15.95" customHeight="1" x14ac:dyDescent="0.2">
      <c r="A118" s="118" t="str">
        <f t="shared" si="7"/>
        <v xml:space="preserve"> </v>
      </c>
      <c r="B118" s="79"/>
      <c r="C118" s="80"/>
      <c r="D118" s="80"/>
      <c r="E118" s="8"/>
      <c r="F118" s="8"/>
      <c r="G118" s="15"/>
      <c r="H118" s="35"/>
      <c r="I118" s="8"/>
      <c r="J118" s="81"/>
      <c r="K118" s="82"/>
      <c r="L118" s="7"/>
      <c r="M118" s="7"/>
      <c r="N118" s="119"/>
      <c r="O118" s="117"/>
      <c r="P118" s="117"/>
      <c r="Q118" s="117"/>
      <c r="R118" s="117"/>
      <c r="S118" s="78">
        <f t="shared" si="4"/>
        <v>0</v>
      </c>
      <c r="T118" s="78" t="str">
        <f t="shared" si="5"/>
        <v>C</v>
      </c>
      <c r="U118" s="83" t="str">
        <f t="shared" si="6"/>
        <v/>
      </c>
    </row>
    <row r="119" spans="1:21" s="101" customFormat="1" ht="15.95" customHeight="1" x14ac:dyDescent="0.2">
      <c r="A119" s="118" t="str">
        <f t="shared" si="7"/>
        <v xml:space="preserve"> </v>
      </c>
      <c r="B119" s="79"/>
      <c r="C119" s="80"/>
      <c r="D119" s="80"/>
      <c r="E119" s="8"/>
      <c r="F119" s="8"/>
      <c r="G119" s="15"/>
      <c r="H119" s="35"/>
      <c r="I119" s="8"/>
      <c r="J119" s="81"/>
      <c r="K119" s="82"/>
      <c r="L119" s="7"/>
      <c r="M119" s="7"/>
      <c r="N119" s="119"/>
      <c r="O119" s="117"/>
      <c r="P119" s="117"/>
      <c r="Q119" s="117"/>
      <c r="R119" s="117"/>
      <c r="S119" s="78">
        <f t="shared" si="4"/>
        <v>0</v>
      </c>
      <c r="T119" s="78" t="str">
        <f t="shared" si="5"/>
        <v>C</v>
      </c>
      <c r="U119" s="83" t="str">
        <f t="shared" si="6"/>
        <v/>
      </c>
    </row>
    <row r="120" spans="1:21" s="101" customFormat="1" ht="15.95" customHeight="1" x14ac:dyDescent="0.2">
      <c r="A120" s="118" t="str">
        <f t="shared" si="7"/>
        <v xml:space="preserve"> </v>
      </c>
      <c r="B120" s="79"/>
      <c r="C120" s="80"/>
      <c r="D120" s="80"/>
      <c r="E120" s="8"/>
      <c r="F120" s="8"/>
      <c r="G120" s="15"/>
      <c r="H120" s="35"/>
      <c r="I120" s="8"/>
      <c r="J120" s="81"/>
      <c r="K120" s="82"/>
      <c r="L120" s="7"/>
      <c r="M120" s="7"/>
      <c r="N120" s="119"/>
      <c r="O120" s="117"/>
      <c r="P120" s="117"/>
      <c r="Q120" s="117"/>
      <c r="R120" s="117"/>
      <c r="S120" s="78">
        <f t="shared" si="4"/>
        <v>0</v>
      </c>
      <c r="T120" s="78" t="str">
        <f t="shared" si="5"/>
        <v>C</v>
      </c>
      <c r="U120" s="83" t="str">
        <f t="shared" si="6"/>
        <v/>
      </c>
    </row>
    <row r="121" spans="1:21" s="101" customFormat="1" ht="15.95" customHeight="1" x14ac:dyDescent="0.2">
      <c r="A121" s="118" t="str">
        <f t="shared" si="7"/>
        <v xml:space="preserve"> </v>
      </c>
      <c r="B121" s="79"/>
      <c r="C121" s="80"/>
      <c r="D121" s="80"/>
      <c r="E121" s="8"/>
      <c r="F121" s="8"/>
      <c r="G121" s="15"/>
      <c r="H121" s="35"/>
      <c r="I121" s="8"/>
      <c r="J121" s="81"/>
      <c r="K121" s="82"/>
      <c r="L121" s="7"/>
      <c r="M121" s="7"/>
      <c r="N121" s="119"/>
      <c r="O121" s="117"/>
      <c r="P121" s="117"/>
      <c r="Q121" s="117"/>
      <c r="R121" s="117"/>
      <c r="S121" s="78">
        <f t="shared" si="4"/>
        <v>0</v>
      </c>
      <c r="T121" s="78" t="str">
        <f t="shared" si="5"/>
        <v>C</v>
      </c>
      <c r="U121" s="83" t="str">
        <f t="shared" si="6"/>
        <v/>
      </c>
    </row>
    <row r="122" spans="1:21" s="101" customFormat="1" ht="15.95" customHeight="1" x14ac:dyDescent="0.2">
      <c r="A122" s="118" t="str">
        <f t="shared" si="7"/>
        <v xml:space="preserve"> </v>
      </c>
      <c r="B122" s="79"/>
      <c r="C122" s="80"/>
      <c r="D122" s="80"/>
      <c r="E122" s="8"/>
      <c r="F122" s="8"/>
      <c r="G122" s="15"/>
      <c r="H122" s="35"/>
      <c r="I122" s="8"/>
      <c r="J122" s="81"/>
      <c r="K122" s="82"/>
      <c r="L122" s="7"/>
      <c r="M122" s="7"/>
      <c r="N122" s="119"/>
      <c r="O122" s="117"/>
      <c r="P122" s="117"/>
      <c r="Q122" s="117"/>
      <c r="R122" s="117"/>
      <c r="S122" s="78">
        <f t="shared" si="4"/>
        <v>0</v>
      </c>
      <c r="T122" s="78" t="str">
        <f t="shared" si="5"/>
        <v>C</v>
      </c>
      <c r="U122" s="83" t="str">
        <f t="shared" si="6"/>
        <v/>
      </c>
    </row>
    <row r="123" spans="1:21" s="101" customFormat="1" ht="15.95" customHeight="1" x14ac:dyDescent="0.2">
      <c r="A123" s="118" t="str">
        <f t="shared" si="7"/>
        <v xml:space="preserve"> </v>
      </c>
      <c r="B123" s="79"/>
      <c r="C123" s="80"/>
      <c r="D123" s="80"/>
      <c r="E123" s="8"/>
      <c r="F123" s="8"/>
      <c r="G123" s="15"/>
      <c r="H123" s="35"/>
      <c r="I123" s="8"/>
      <c r="J123" s="81"/>
      <c r="K123" s="82"/>
      <c r="L123" s="7"/>
      <c r="M123" s="7"/>
      <c r="N123" s="119"/>
      <c r="O123" s="117"/>
      <c r="P123" s="117"/>
      <c r="Q123" s="117"/>
      <c r="R123" s="117"/>
      <c r="S123" s="78">
        <f t="shared" si="4"/>
        <v>0</v>
      </c>
      <c r="T123" s="78" t="str">
        <f t="shared" si="5"/>
        <v>C</v>
      </c>
      <c r="U123" s="83" t="str">
        <f t="shared" si="6"/>
        <v/>
      </c>
    </row>
    <row r="124" spans="1:21" s="101" customFormat="1" ht="15.95" customHeight="1" x14ac:dyDescent="0.2">
      <c r="A124" s="118" t="str">
        <f t="shared" si="7"/>
        <v xml:space="preserve"> </v>
      </c>
      <c r="B124" s="79"/>
      <c r="C124" s="80"/>
      <c r="D124" s="80"/>
      <c r="E124" s="8"/>
      <c r="F124" s="8"/>
      <c r="G124" s="15"/>
      <c r="H124" s="35"/>
      <c r="I124" s="8"/>
      <c r="J124" s="81"/>
      <c r="K124" s="82"/>
      <c r="L124" s="7"/>
      <c r="M124" s="7"/>
      <c r="N124" s="119"/>
      <c r="O124" s="117"/>
      <c r="P124" s="117"/>
      <c r="Q124" s="117"/>
      <c r="R124" s="117"/>
      <c r="S124" s="78">
        <f t="shared" si="4"/>
        <v>0</v>
      </c>
      <c r="T124" s="78" t="str">
        <f t="shared" si="5"/>
        <v>C</v>
      </c>
      <c r="U124" s="83" t="str">
        <f t="shared" si="6"/>
        <v/>
      </c>
    </row>
    <row r="125" spans="1:21" s="101" customFormat="1" ht="15.95" customHeight="1" x14ac:dyDescent="0.2">
      <c r="A125" s="118" t="str">
        <f t="shared" si="7"/>
        <v xml:space="preserve"> </v>
      </c>
      <c r="B125" s="79"/>
      <c r="C125" s="80"/>
      <c r="D125" s="80"/>
      <c r="E125" s="8"/>
      <c r="F125" s="8"/>
      <c r="G125" s="15"/>
      <c r="H125" s="35"/>
      <c r="I125" s="8"/>
      <c r="J125" s="81"/>
      <c r="K125" s="82"/>
      <c r="L125" s="7"/>
      <c r="M125" s="7"/>
      <c r="N125" s="119"/>
      <c r="O125" s="117"/>
      <c r="P125" s="117"/>
      <c r="Q125" s="117"/>
      <c r="R125" s="117"/>
      <c r="S125" s="78">
        <f t="shared" si="4"/>
        <v>0</v>
      </c>
      <c r="T125" s="78" t="str">
        <f t="shared" si="5"/>
        <v>C</v>
      </c>
      <c r="U125" s="83" t="str">
        <f t="shared" si="6"/>
        <v/>
      </c>
    </row>
    <row r="126" spans="1:21" s="101" customFormat="1" ht="15.95" customHeight="1" x14ac:dyDescent="0.2">
      <c r="A126" s="118" t="str">
        <f t="shared" si="7"/>
        <v xml:space="preserve"> </v>
      </c>
      <c r="B126" s="79"/>
      <c r="C126" s="80"/>
      <c r="D126" s="80"/>
      <c r="E126" s="8"/>
      <c r="F126" s="8"/>
      <c r="G126" s="15"/>
      <c r="H126" s="35"/>
      <c r="I126" s="8"/>
      <c r="J126" s="81"/>
      <c r="K126" s="82"/>
      <c r="L126" s="7"/>
      <c r="M126" s="7"/>
      <c r="N126" s="119"/>
      <c r="O126" s="117"/>
      <c r="P126" s="117"/>
      <c r="Q126" s="117"/>
      <c r="R126" s="117"/>
      <c r="S126" s="78">
        <f t="shared" si="4"/>
        <v>0</v>
      </c>
      <c r="T126" s="78" t="str">
        <f t="shared" si="5"/>
        <v>C</v>
      </c>
      <c r="U126" s="83" t="str">
        <f t="shared" si="6"/>
        <v/>
      </c>
    </row>
    <row r="127" spans="1:21" s="101" customFormat="1" ht="15.95" customHeight="1" x14ac:dyDescent="0.2">
      <c r="A127" s="118" t="str">
        <f t="shared" si="7"/>
        <v xml:space="preserve"> </v>
      </c>
      <c r="B127" s="79"/>
      <c r="C127" s="80"/>
      <c r="D127" s="80"/>
      <c r="E127" s="8"/>
      <c r="F127" s="8"/>
      <c r="G127" s="15"/>
      <c r="H127" s="35"/>
      <c r="I127" s="8"/>
      <c r="J127" s="81"/>
      <c r="K127" s="82"/>
      <c r="L127" s="7"/>
      <c r="M127" s="7"/>
      <c r="N127" s="119"/>
      <c r="O127" s="117"/>
      <c r="P127" s="117"/>
      <c r="Q127" s="117"/>
      <c r="R127" s="117"/>
      <c r="S127" s="78">
        <f t="shared" si="4"/>
        <v>0</v>
      </c>
      <c r="T127" s="78" t="str">
        <f t="shared" si="5"/>
        <v>C</v>
      </c>
      <c r="U127" s="83" t="str">
        <f t="shared" si="6"/>
        <v/>
      </c>
    </row>
    <row r="128" spans="1:21" s="101" customFormat="1" ht="15.95" customHeight="1" x14ac:dyDescent="0.2">
      <c r="A128" s="118" t="str">
        <f t="shared" si="7"/>
        <v xml:space="preserve"> </v>
      </c>
      <c r="B128" s="79"/>
      <c r="C128" s="80"/>
      <c r="D128" s="80"/>
      <c r="E128" s="8"/>
      <c r="F128" s="8"/>
      <c r="G128" s="15"/>
      <c r="H128" s="35"/>
      <c r="I128" s="8"/>
      <c r="J128" s="81"/>
      <c r="K128" s="82"/>
      <c r="L128" s="7"/>
      <c r="M128" s="7"/>
      <c r="N128" s="119"/>
      <c r="O128" s="117"/>
      <c r="P128" s="117"/>
      <c r="Q128" s="117"/>
      <c r="R128" s="117"/>
      <c r="S128" s="78">
        <f t="shared" si="4"/>
        <v>0</v>
      </c>
      <c r="T128" s="78" t="str">
        <f t="shared" si="5"/>
        <v>C</v>
      </c>
      <c r="U128" s="83" t="str">
        <f t="shared" si="6"/>
        <v/>
      </c>
    </row>
    <row r="129" spans="1:21" s="101" customFormat="1" ht="15.95" customHeight="1" x14ac:dyDescent="0.2">
      <c r="A129" s="118" t="str">
        <f t="shared" si="7"/>
        <v xml:space="preserve"> </v>
      </c>
      <c r="B129" s="79"/>
      <c r="C129" s="80"/>
      <c r="D129" s="80"/>
      <c r="E129" s="8"/>
      <c r="F129" s="8"/>
      <c r="G129" s="15"/>
      <c r="H129" s="35"/>
      <c r="I129" s="8"/>
      <c r="J129" s="81"/>
      <c r="K129" s="82"/>
      <c r="L129" s="7"/>
      <c r="M129" s="7"/>
      <c r="N129" s="119"/>
      <c r="O129" s="117"/>
      <c r="P129" s="117"/>
      <c r="Q129" s="117"/>
      <c r="R129" s="117"/>
      <c r="S129" s="78">
        <f t="shared" si="4"/>
        <v>0</v>
      </c>
      <c r="T129" s="78" t="str">
        <f t="shared" si="5"/>
        <v>C</v>
      </c>
      <c r="U129" s="83" t="str">
        <f t="shared" si="6"/>
        <v/>
      </c>
    </row>
    <row r="130" spans="1:21" s="101" customFormat="1" ht="15.95" customHeight="1" x14ac:dyDescent="0.2">
      <c r="A130" s="118" t="str">
        <f t="shared" si="7"/>
        <v xml:space="preserve"> </v>
      </c>
      <c r="B130" s="79"/>
      <c r="C130" s="80"/>
      <c r="D130" s="80"/>
      <c r="E130" s="8"/>
      <c r="F130" s="8"/>
      <c r="G130" s="15"/>
      <c r="H130" s="35"/>
      <c r="I130" s="8"/>
      <c r="J130" s="81"/>
      <c r="K130" s="82"/>
      <c r="L130" s="7"/>
      <c r="M130" s="7"/>
      <c r="N130" s="119"/>
      <c r="O130" s="117"/>
      <c r="P130" s="117"/>
      <c r="Q130" s="117"/>
      <c r="R130" s="117"/>
      <c r="S130" s="78">
        <f t="shared" si="4"/>
        <v>0</v>
      </c>
      <c r="T130" s="78" t="str">
        <f t="shared" si="5"/>
        <v>C</v>
      </c>
      <c r="U130" s="83" t="str">
        <f t="shared" si="6"/>
        <v/>
      </c>
    </row>
    <row r="131" spans="1:21" s="101" customFormat="1" ht="15.95" customHeight="1" x14ac:dyDescent="0.2">
      <c r="A131" s="118" t="str">
        <f t="shared" si="7"/>
        <v xml:space="preserve"> </v>
      </c>
      <c r="B131" s="79"/>
      <c r="C131" s="80"/>
      <c r="D131" s="80"/>
      <c r="E131" s="8"/>
      <c r="F131" s="8"/>
      <c r="G131" s="15"/>
      <c r="H131" s="35"/>
      <c r="I131" s="8"/>
      <c r="J131" s="81"/>
      <c r="K131" s="82"/>
      <c r="L131" s="7"/>
      <c r="M131" s="7"/>
      <c r="N131" s="119"/>
      <c r="O131" s="117"/>
      <c r="P131" s="117"/>
      <c r="Q131" s="117"/>
      <c r="R131" s="117"/>
      <c r="S131" s="78">
        <f t="shared" si="4"/>
        <v>0</v>
      </c>
      <c r="T131" s="78" t="str">
        <f t="shared" si="5"/>
        <v>C</v>
      </c>
      <c r="U131" s="83" t="str">
        <f t="shared" si="6"/>
        <v/>
      </c>
    </row>
    <row r="132" spans="1:21" s="101" customFormat="1" ht="15.95" customHeight="1" x14ac:dyDescent="0.2">
      <c r="A132" s="118" t="str">
        <f t="shared" si="7"/>
        <v xml:space="preserve"> </v>
      </c>
      <c r="B132" s="79"/>
      <c r="C132" s="80"/>
      <c r="D132" s="80"/>
      <c r="E132" s="8"/>
      <c r="F132" s="8"/>
      <c r="G132" s="15"/>
      <c r="H132" s="35"/>
      <c r="I132" s="8"/>
      <c r="J132" s="81"/>
      <c r="K132" s="82"/>
      <c r="L132" s="7"/>
      <c r="M132" s="7"/>
      <c r="N132" s="119"/>
      <c r="O132" s="117"/>
      <c r="P132" s="117"/>
      <c r="Q132" s="117"/>
      <c r="R132" s="117"/>
      <c r="S132" s="78">
        <f t="shared" si="4"/>
        <v>0</v>
      </c>
      <c r="T132" s="78" t="str">
        <f t="shared" si="5"/>
        <v>C</v>
      </c>
      <c r="U132" s="83" t="str">
        <f t="shared" si="6"/>
        <v/>
      </c>
    </row>
    <row r="133" spans="1:21" s="101" customFormat="1" ht="15.95" customHeight="1" x14ac:dyDescent="0.2">
      <c r="A133" s="118" t="str">
        <f t="shared" si="7"/>
        <v xml:space="preserve"> </v>
      </c>
      <c r="B133" s="79"/>
      <c r="C133" s="80"/>
      <c r="D133" s="80"/>
      <c r="E133" s="8"/>
      <c r="F133" s="8"/>
      <c r="G133" s="15"/>
      <c r="H133" s="35"/>
      <c r="I133" s="8"/>
      <c r="J133" s="81"/>
      <c r="K133" s="82"/>
      <c r="L133" s="7"/>
      <c r="M133" s="7"/>
      <c r="N133" s="119"/>
      <c r="O133" s="117"/>
      <c r="P133" s="117"/>
      <c r="Q133" s="117"/>
      <c r="R133" s="117"/>
      <c r="S133" s="78">
        <f t="shared" si="4"/>
        <v>0</v>
      </c>
      <c r="T133" s="78" t="str">
        <f t="shared" si="5"/>
        <v>C</v>
      </c>
      <c r="U133" s="83" t="str">
        <f t="shared" si="6"/>
        <v/>
      </c>
    </row>
    <row r="134" spans="1:21" s="101" customFormat="1" ht="15.95" customHeight="1" x14ac:dyDescent="0.2">
      <c r="A134" s="118" t="str">
        <f t="shared" si="7"/>
        <v xml:space="preserve"> </v>
      </c>
      <c r="B134" s="79"/>
      <c r="C134" s="80"/>
      <c r="D134" s="80"/>
      <c r="E134" s="8"/>
      <c r="F134" s="8"/>
      <c r="G134" s="15"/>
      <c r="H134" s="35"/>
      <c r="I134" s="8"/>
      <c r="J134" s="81"/>
      <c r="K134" s="82"/>
      <c r="L134" s="7"/>
      <c r="M134" s="7"/>
      <c r="N134" s="119"/>
      <c r="O134" s="117"/>
      <c r="P134" s="117"/>
      <c r="Q134" s="117"/>
      <c r="R134" s="117"/>
      <c r="S134" s="78">
        <f t="shared" si="4"/>
        <v>0</v>
      </c>
      <c r="T134" s="78" t="str">
        <f t="shared" si="5"/>
        <v>C</v>
      </c>
      <c r="U134" s="83" t="str">
        <f t="shared" si="6"/>
        <v/>
      </c>
    </row>
    <row r="135" spans="1:21" s="101" customFormat="1" ht="15.95" customHeight="1" x14ac:dyDescent="0.2">
      <c r="A135" s="118" t="str">
        <f t="shared" si="7"/>
        <v xml:space="preserve"> </v>
      </c>
      <c r="B135" s="79"/>
      <c r="C135" s="80"/>
      <c r="D135" s="80"/>
      <c r="E135" s="8"/>
      <c r="F135" s="8"/>
      <c r="G135" s="15"/>
      <c r="H135" s="35"/>
      <c r="I135" s="8"/>
      <c r="J135" s="81"/>
      <c r="K135" s="82"/>
      <c r="L135" s="7"/>
      <c r="M135" s="7"/>
      <c r="N135" s="119"/>
      <c r="O135" s="117"/>
      <c r="P135" s="117"/>
      <c r="Q135" s="117"/>
      <c r="R135" s="117"/>
      <c r="S135" s="78">
        <f t="shared" si="4"/>
        <v>0</v>
      </c>
      <c r="T135" s="78" t="str">
        <f t="shared" si="5"/>
        <v>C</v>
      </c>
      <c r="U135" s="83" t="str">
        <f t="shared" si="6"/>
        <v/>
      </c>
    </row>
    <row r="136" spans="1:21" s="101" customFormat="1" ht="15.95" customHeight="1" x14ac:dyDescent="0.2">
      <c r="A136" s="118" t="str">
        <f t="shared" si="7"/>
        <v xml:space="preserve"> </v>
      </c>
      <c r="B136" s="79"/>
      <c r="C136" s="80"/>
      <c r="D136" s="80"/>
      <c r="E136" s="8"/>
      <c r="F136" s="8"/>
      <c r="G136" s="15"/>
      <c r="H136" s="35"/>
      <c r="I136" s="8"/>
      <c r="J136" s="81"/>
      <c r="K136" s="82"/>
      <c r="L136" s="7"/>
      <c r="M136" s="7"/>
      <c r="N136" s="119"/>
      <c r="O136" s="117"/>
      <c r="P136" s="117"/>
      <c r="Q136" s="117"/>
      <c r="R136" s="117"/>
      <c r="S136" s="78">
        <f t="shared" si="4"/>
        <v>0</v>
      </c>
      <c r="T136" s="78" t="str">
        <f t="shared" si="5"/>
        <v>C</v>
      </c>
      <c r="U136" s="83" t="str">
        <f t="shared" si="6"/>
        <v/>
      </c>
    </row>
    <row r="137" spans="1:21" s="101" customFormat="1" ht="15.95" customHeight="1" x14ac:dyDescent="0.2">
      <c r="A137" s="118" t="str">
        <f t="shared" si="7"/>
        <v xml:space="preserve"> </v>
      </c>
      <c r="B137" s="79"/>
      <c r="C137" s="80"/>
      <c r="D137" s="80"/>
      <c r="E137" s="8"/>
      <c r="F137" s="8"/>
      <c r="G137" s="15"/>
      <c r="H137" s="35"/>
      <c r="I137" s="8"/>
      <c r="J137" s="81"/>
      <c r="K137" s="82"/>
      <c r="L137" s="7"/>
      <c r="M137" s="7"/>
      <c r="N137" s="119"/>
      <c r="O137" s="117"/>
      <c r="P137" s="117"/>
      <c r="Q137" s="117"/>
      <c r="R137" s="117"/>
      <c r="S137" s="78">
        <f t="shared" si="4"/>
        <v>0</v>
      </c>
      <c r="T137" s="78" t="str">
        <f t="shared" si="5"/>
        <v>C</v>
      </c>
      <c r="U137" s="83" t="str">
        <f t="shared" si="6"/>
        <v/>
      </c>
    </row>
    <row r="138" spans="1:21" s="101" customFormat="1" ht="15.95" customHeight="1" x14ac:dyDescent="0.2">
      <c r="A138" s="118" t="str">
        <f t="shared" si="7"/>
        <v xml:space="preserve"> </v>
      </c>
      <c r="B138" s="79"/>
      <c r="C138" s="80"/>
      <c r="D138" s="80"/>
      <c r="E138" s="8"/>
      <c r="F138" s="8"/>
      <c r="G138" s="15"/>
      <c r="H138" s="35"/>
      <c r="I138" s="8"/>
      <c r="J138" s="81"/>
      <c r="K138" s="82"/>
      <c r="L138" s="7"/>
      <c r="M138" s="7"/>
      <c r="N138" s="119"/>
      <c r="O138" s="117"/>
      <c r="P138" s="117"/>
      <c r="Q138" s="117"/>
      <c r="R138" s="117"/>
      <c r="S138" s="78">
        <f t="shared" si="4"/>
        <v>0</v>
      </c>
      <c r="T138" s="78" t="str">
        <f t="shared" si="5"/>
        <v>C</v>
      </c>
      <c r="U138" s="83" t="str">
        <f t="shared" si="6"/>
        <v/>
      </c>
    </row>
    <row r="139" spans="1:21" s="101" customFormat="1" ht="15.95" customHeight="1" x14ac:dyDescent="0.2">
      <c r="A139" s="118" t="str">
        <f t="shared" si="7"/>
        <v xml:space="preserve"> </v>
      </c>
      <c r="B139" s="79"/>
      <c r="C139" s="80"/>
      <c r="D139" s="80"/>
      <c r="E139" s="8"/>
      <c r="F139" s="8"/>
      <c r="G139" s="15"/>
      <c r="H139" s="35"/>
      <c r="I139" s="8"/>
      <c r="J139" s="81"/>
      <c r="K139" s="82"/>
      <c r="L139" s="7"/>
      <c r="M139" s="7"/>
      <c r="N139" s="119"/>
      <c r="O139" s="117"/>
      <c r="P139" s="117"/>
      <c r="Q139" s="117"/>
      <c r="R139" s="117"/>
      <c r="S139" s="78">
        <f t="shared" si="4"/>
        <v>0</v>
      </c>
      <c r="T139" s="78" t="str">
        <f t="shared" si="5"/>
        <v>C</v>
      </c>
      <c r="U139" s="83" t="str">
        <f t="shared" si="6"/>
        <v/>
      </c>
    </row>
    <row r="140" spans="1:21" s="101" customFormat="1" ht="15.95" customHeight="1" x14ac:dyDescent="0.2">
      <c r="A140" s="118" t="str">
        <f t="shared" si="7"/>
        <v xml:space="preserve"> </v>
      </c>
      <c r="B140" s="79"/>
      <c r="C140" s="80"/>
      <c r="D140" s="80"/>
      <c r="E140" s="8"/>
      <c r="F140" s="8"/>
      <c r="G140" s="15"/>
      <c r="H140" s="35"/>
      <c r="I140" s="8"/>
      <c r="J140" s="81"/>
      <c r="K140" s="82"/>
      <c r="L140" s="7"/>
      <c r="M140" s="7"/>
      <c r="N140" s="119"/>
      <c r="O140" s="117"/>
      <c r="P140" s="117"/>
      <c r="Q140" s="117"/>
      <c r="R140" s="117"/>
      <c r="S140" s="78">
        <f t="shared" si="4"/>
        <v>0</v>
      </c>
      <c r="T140" s="78" t="str">
        <f t="shared" si="5"/>
        <v>C</v>
      </c>
      <c r="U140" s="83" t="str">
        <f t="shared" si="6"/>
        <v/>
      </c>
    </row>
    <row r="141" spans="1:21" s="101" customFormat="1" ht="15.95" customHeight="1" x14ac:dyDescent="0.2">
      <c r="A141" s="118" t="str">
        <f t="shared" si="7"/>
        <v xml:space="preserve"> </v>
      </c>
      <c r="B141" s="79"/>
      <c r="C141" s="80"/>
      <c r="D141" s="80"/>
      <c r="E141" s="8"/>
      <c r="F141" s="8"/>
      <c r="G141" s="15"/>
      <c r="H141" s="35"/>
      <c r="I141" s="8"/>
      <c r="J141" s="81"/>
      <c r="K141" s="82"/>
      <c r="L141" s="7"/>
      <c r="M141" s="7"/>
      <c r="N141" s="119"/>
      <c r="O141" s="117"/>
      <c r="P141" s="117"/>
      <c r="Q141" s="117"/>
      <c r="R141" s="117"/>
      <c r="S141" s="78">
        <f t="shared" si="4"/>
        <v>0</v>
      </c>
      <c r="T141" s="78" t="str">
        <f t="shared" si="5"/>
        <v>C</v>
      </c>
      <c r="U141" s="83" t="str">
        <f t="shared" si="6"/>
        <v/>
      </c>
    </row>
    <row r="142" spans="1:21" s="101" customFormat="1" ht="15.95" customHeight="1" x14ac:dyDescent="0.2">
      <c r="A142" s="118" t="str">
        <f t="shared" si="7"/>
        <v xml:space="preserve"> </v>
      </c>
      <c r="B142" s="79"/>
      <c r="C142" s="80"/>
      <c r="D142" s="80"/>
      <c r="E142" s="8"/>
      <c r="F142" s="8"/>
      <c r="G142" s="15"/>
      <c r="H142" s="35"/>
      <c r="I142" s="8"/>
      <c r="J142" s="81"/>
      <c r="K142" s="82"/>
      <c r="L142" s="7"/>
      <c r="M142" s="7"/>
      <c r="N142" s="119"/>
      <c r="O142" s="117"/>
      <c r="P142" s="117"/>
      <c r="Q142" s="117"/>
      <c r="R142" s="117"/>
      <c r="S142" s="78">
        <f t="shared" si="4"/>
        <v>0</v>
      </c>
      <c r="T142" s="78" t="str">
        <f t="shared" si="5"/>
        <v>C</v>
      </c>
      <c r="U142" s="83" t="str">
        <f t="shared" si="6"/>
        <v/>
      </c>
    </row>
    <row r="143" spans="1:21" s="101" customFormat="1" ht="15.95" customHeight="1" x14ac:dyDescent="0.2">
      <c r="A143" s="118" t="str">
        <f t="shared" si="7"/>
        <v xml:space="preserve"> </v>
      </c>
      <c r="B143" s="79"/>
      <c r="C143" s="80"/>
      <c r="D143" s="80"/>
      <c r="E143" s="8"/>
      <c r="F143" s="8"/>
      <c r="G143" s="15"/>
      <c r="H143" s="35"/>
      <c r="I143" s="8"/>
      <c r="J143" s="81"/>
      <c r="K143" s="82"/>
      <c r="L143" s="7"/>
      <c r="M143" s="7"/>
      <c r="N143" s="119"/>
      <c r="O143" s="117"/>
      <c r="P143" s="117"/>
      <c r="Q143" s="117"/>
      <c r="R143" s="117"/>
      <c r="S143" s="78">
        <f t="shared" si="4"/>
        <v>0</v>
      </c>
      <c r="T143" s="78" t="str">
        <f t="shared" si="5"/>
        <v>C</v>
      </c>
      <c r="U143" s="83" t="str">
        <f t="shared" si="6"/>
        <v/>
      </c>
    </row>
    <row r="144" spans="1:21" s="101" customFormat="1" ht="15.95" customHeight="1" x14ac:dyDescent="0.2">
      <c r="A144" s="118" t="str">
        <f t="shared" si="7"/>
        <v xml:space="preserve"> </v>
      </c>
      <c r="B144" s="79"/>
      <c r="C144" s="80"/>
      <c r="D144" s="80"/>
      <c r="E144" s="8"/>
      <c r="F144" s="8"/>
      <c r="G144" s="15"/>
      <c r="H144" s="35"/>
      <c r="I144" s="8"/>
      <c r="J144" s="81"/>
      <c r="K144" s="82"/>
      <c r="L144" s="7"/>
      <c r="M144" s="7"/>
      <c r="N144" s="119"/>
      <c r="O144" s="117"/>
      <c r="P144" s="117"/>
      <c r="Q144" s="117"/>
      <c r="R144" s="117"/>
      <c r="S144" s="78">
        <f t="shared" ref="S144:S207" si="8">ROUND(ABS(K144),2)*100</f>
        <v>0</v>
      </c>
      <c r="T144" s="78" t="str">
        <f t="shared" ref="T144:T207" si="9">IF(K144&gt;0,"D","C")</f>
        <v>C</v>
      </c>
      <c r="U144" s="83" t="str">
        <f t="shared" ref="U144:U207" si="10">B144&amp;C144&amp;D144&amp;E144&amp;F144&amp;G144&amp;H144&amp;I144&amp;J144&amp;K144&amp;L144&amp;N144</f>
        <v/>
      </c>
    </row>
    <row r="145" spans="1:21" s="101" customFormat="1" ht="15.95" customHeight="1" x14ac:dyDescent="0.2">
      <c r="A145" s="118" t="str">
        <f t="shared" ref="A145:A208" si="11">IF(U145=""," ",A144+1)</f>
        <v xml:space="preserve"> </v>
      </c>
      <c r="B145" s="79"/>
      <c r="C145" s="80"/>
      <c r="D145" s="80"/>
      <c r="E145" s="8"/>
      <c r="F145" s="8"/>
      <c r="G145" s="15"/>
      <c r="H145" s="35"/>
      <c r="I145" s="8"/>
      <c r="J145" s="81"/>
      <c r="K145" s="82"/>
      <c r="L145" s="7"/>
      <c r="M145" s="7"/>
      <c r="N145" s="119"/>
      <c r="O145" s="117"/>
      <c r="P145" s="117"/>
      <c r="Q145" s="117"/>
      <c r="R145" s="117"/>
      <c r="S145" s="78">
        <f t="shared" si="8"/>
        <v>0</v>
      </c>
      <c r="T145" s="78" t="str">
        <f t="shared" si="9"/>
        <v>C</v>
      </c>
      <c r="U145" s="83" t="str">
        <f t="shared" si="10"/>
        <v/>
      </c>
    </row>
    <row r="146" spans="1:21" s="101" customFormat="1" ht="15.95" customHeight="1" x14ac:dyDescent="0.2">
      <c r="A146" s="118" t="str">
        <f t="shared" si="11"/>
        <v xml:space="preserve"> </v>
      </c>
      <c r="B146" s="79"/>
      <c r="C146" s="80"/>
      <c r="D146" s="80"/>
      <c r="E146" s="8"/>
      <c r="F146" s="8"/>
      <c r="G146" s="15"/>
      <c r="H146" s="35"/>
      <c r="I146" s="8"/>
      <c r="J146" s="81"/>
      <c r="K146" s="82"/>
      <c r="L146" s="7"/>
      <c r="M146" s="7"/>
      <c r="N146" s="119"/>
      <c r="O146" s="117"/>
      <c r="P146" s="117"/>
      <c r="Q146" s="117"/>
      <c r="R146" s="117"/>
      <c r="S146" s="78">
        <f t="shared" si="8"/>
        <v>0</v>
      </c>
      <c r="T146" s="78" t="str">
        <f t="shared" si="9"/>
        <v>C</v>
      </c>
      <c r="U146" s="83" t="str">
        <f t="shared" si="10"/>
        <v/>
      </c>
    </row>
    <row r="147" spans="1:21" s="101" customFormat="1" ht="15.95" customHeight="1" x14ac:dyDescent="0.2">
      <c r="A147" s="118" t="str">
        <f t="shared" si="11"/>
        <v xml:space="preserve"> </v>
      </c>
      <c r="B147" s="79"/>
      <c r="C147" s="80"/>
      <c r="D147" s="80"/>
      <c r="E147" s="8"/>
      <c r="F147" s="8"/>
      <c r="G147" s="15"/>
      <c r="H147" s="35"/>
      <c r="I147" s="8"/>
      <c r="J147" s="81"/>
      <c r="K147" s="82"/>
      <c r="L147" s="7"/>
      <c r="M147" s="7"/>
      <c r="N147" s="119"/>
      <c r="O147" s="117"/>
      <c r="P147" s="117"/>
      <c r="Q147" s="117"/>
      <c r="R147" s="117"/>
      <c r="S147" s="78">
        <f t="shared" si="8"/>
        <v>0</v>
      </c>
      <c r="T147" s="78" t="str">
        <f t="shared" si="9"/>
        <v>C</v>
      </c>
      <c r="U147" s="83" t="str">
        <f t="shared" si="10"/>
        <v/>
      </c>
    </row>
    <row r="148" spans="1:21" s="101" customFormat="1" ht="15.95" customHeight="1" x14ac:dyDescent="0.2">
      <c r="A148" s="118" t="str">
        <f t="shared" si="11"/>
        <v xml:space="preserve"> </v>
      </c>
      <c r="B148" s="79"/>
      <c r="C148" s="80"/>
      <c r="D148" s="80"/>
      <c r="E148" s="8"/>
      <c r="F148" s="8"/>
      <c r="G148" s="15"/>
      <c r="H148" s="35"/>
      <c r="I148" s="8"/>
      <c r="J148" s="81"/>
      <c r="K148" s="82"/>
      <c r="L148" s="7"/>
      <c r="M148" s="7"/>
      <c r="N148" s="119"/>
      <c r="O148" s="117"/>
      <c r="P148" s="117"/>
      <c r="Q148" s="117"/>
      <c r="R148" s="117"/>
      <c r="S148" s="78">
        <f t="shared" si="8"/>
        <v>0</v>
      </c>
      <c r="T148" s="78" t="str">
        <f t="shared" si="9"/>
        <v>C</v>
      </c>
      <c r="U148" s="83" t="str">
        <f t="shared" si="10"/>
        <v/>
      </c>
    </row>
    <row r="149" spans="1:21" s="101" customFormat="1" ht="15.95" customHeight="1" x14ac:dyDescent="0.2">
      <c r="A149" s="118" t="str">
        <f t="shared" si="11"/>
        <v xml:space="preserve"> </v>
      </c>
      <c r="B149" s="79"/>
      <c r="C149" s="80"/>
      <c r="D149" s="80"/>
      <c r="E149" s="8"/>
      <c r="F149" s="8"/>
      <c r="G149" s="15"/>
      <c r="H149" s="35"/>
      <c r="I149" s="8"/>
      <c r="J149" s="81"/>
      <c r="K149" s="82"/>
      <c r="L149" s="7"/>
      <c r="M149" s="7"/>
      <c r="N149" s="119"/>
      <c r="O149" s="117"/>
      <c r="P149" s="117"/>
      <c r="Q149" s="117"/>
      <c r="R149" s="117"/>
      <c r="S149" s="78">
        <f t="shared" si="8"/>
        <v>0</v>
      </c>
      <c r="T149" s="78" t="str">
        <f t="shared" si="9"/>
        <v>C</v>
      </c>
      <c r="U149" s="83" t="str">
        <f t="shared" si="10"/>
        <v/>
      </c>
    </row>
    <row r="150" spans="1:21" s="101" customFormat="1" ht="15.95" customHeight="1" x14ac:dyDescent="0.2">
      <c r="A150" s="118" t="str">
        <f t="shared" si="11"/>
        <v xml:space="preserve"> </v>
      </c>
      <c r="B150" s="79"/>
      <c r="C150" s="80"/>
      <c r="D150" s="80"/>
      <c r="E150" s="8"/>
      <c r="F150" s="8"/>
      <c r="G150" s="15"/>
      <c r="H150" s="35"/>
      <c r="I150" s="8"/>
      <c r="J150" s="81"/>
      <c r="K150" s="82"/>
      <c r="L150" s="7"/>
      <c r="M150" s="7"/>
      <c r="N150" s="119"/>
      <c r="O150" s="117"/>
      <c r="P150" s="117"/>
      <c r="Q150" s="117"/>
      <c r="R150" s="117"/>
      <c r="S150" s="78">
        <f t="shared" si="8"/>
        <v>0</v>
      </c>
      <c r="T150" s="78" t="str">
        <f t="shared" si="9"/>
        <v>C</v>
      </c>
      <c r="U150" s="83" t="str">
        <f t="shared" si="10"/>
        <v/>
      </c>
    </row>
    <row r="151" spans="1:21" s="101" customFormat="1" ht="15.95" customHeight="1" x14ac:dyDescent="0.2">
      <c r="A151" s="118" t="str">
        <f t="shared" si="11"/>
        <v xml:space="preserve"> </v>
      </c>
      <c r="B151" s="79"/>
      <c r="C151" s="80"/>
      <c r="D151" s="80"/>
      <c r="E151" s="8"/>
      <c r="F151" s="8"/>
      <c r="G151" s="15"/>
      <c r="H151" s="35"/>
      <c r="I151" s="8"/>
      <c r="J151" s="81"/>
      <c r="K151" s="82"/>
      <c r="L151" s="7"/>
      <c r="M151" s="7"/>
      <c r="N151" s="119"/>
      <c r="O151" s="117"/>
      <c r="P151" s="117"/>
      <c r="Q151" s="117"/>
      <c r="R151" s="117"/>
      <c r="S151" s="78">
        <f t="shared" si="8"/>
        <v>0</v>
      </c>
      <c r="T151" s="78" t="str">
        <f t="shared" si="9"/>
        <v>C</v>
      </c>
      <c r="U151" s="83" t="str">
        <f t="shared" si="10"/>
        <v/>
      </c>
    </row>
    <row r="152" spans="1:21" s="101" customFormat="1" ht="15.95" customHeight="1" x14ac:dyDescent="0.2">
      <c r="A152" s="118" t="str">
        <f t="shared" si="11"/>
        <v xml:space="preserve"> </v>
      </c>
      <c r="B152" s="79"/>
      <c r="C152" s="80"/>
      <c r="D152" s="80"/>
      <c r="E152" s="8"/>
      <c r="F152" s="8"/>
      <c r="G152" s="15"/>
      <c r="H152" s="35"/>
      <c r="I152" s="8"/>
      <c r="J152" s="81"/>
      <c r="K152" s="82"/>
      <c r="L152" s="7"/>
      <c r="M152" s="7"/>
      <c r="N152" s="119"/>
      <c r="O152" s="117"/>
      <c r="P152" s="117"/>
      <c r="Q152" s="117"/>
      <c r="R152" s="117"/>
      <c r="S152" s="78">
        <f t="shared" si="8"/>
        <v>0</v>
      </c>
      <c r="T152" s="78" t="str">
        <f t="shared" si="9"/>
        <v>C</v>
      </c>
      <c r="U152" s="83" t="str">
        <f t="shared" si="10"/>
        <v/>
      </c>
    </row>
    <row r="153" spans="1:21" s="101" customFormat="1" ht="15.95" customHeight="1" x14ac:dyDescent="0.2">
      <c r="A153" s="118" t="str">
        <f t="shared" si="11"/>
        <v xml:space="preserve"> </v>
      </c>
      <c r="B153" s="79"/>
      <c r="C153" s="80"/>
      <c r="D153" s="80"/>
      <c r="E153" s="8"/>
      <c r="F153" s="8"/>
      <c r="G153" s="15"/>
      <c r="H153" s="35"/>
      <c r="I153" s="8"/>
      <c r="J153" s="81"/>
      <c r="K153" s="82"/>
      <c r="L153" s="7"/>
      <c r="M153" s="7"/>
      <c r="N153" s="119"/>
      <c r="O153" s="117"/>
      <c r="P153" s="117"/>
      <c r="Q153" s="117"/>
      <c r="R153" s="117"/>
      <c r="S153" s="78">
        <f t="shared" si="8"/>
        <v>0</v>
      </c>
      <c r="T153" s="78" t="str">
        <f t="shared" si="9"/>
        <v>C</v>
      </c>
      <c r="U153" s="83" t="str">
        <f t="shared" si="10"/>
        <v/>
      </c>
    </row>
    <row r="154" spans="1:21" s="101" customFormat="1" ht="15.95" customHeight="1" x14ac:dyDescent="0.2">
      <c r="A154" s="118" t="str">
        <f t="shared" si="11"/>
        <v xml:space="preserve"> </v>
      </c>
      <c r="B154" s="79"/>
      <c r="C154" s="80"/>
      <c r="D154" s="80"/>
      <c r="E154" s="8"/>
      <c r="F154" s="8"/>
      <c r="G154" s="15"/>
      <c r="H154" s="35"/>
      <c r="I154" s="8"/>
      <c r="J154" s="81"/>
      <c r="K154" s="82"/>
      <c r="L154" s="7"/>
      <c r="M154" s="7"/>
      <c r="N154" s="119"/>
      <c r="O154" s="117"/>
      <c r="P154" s="117"/>
      <c r="Q154" s="117"/>
      <c r="R154" s="117"/>
      <c r="S154" s="78">
        <f t="shared" si="8"/>
        <v>0</v>
      </c>
      <c r="T154" s="78" t="str">
        <f t="shared" si="9"/>
        <v>C</v>
      </c>
      <c r="U154" s="83" t="str">
        <f t="shared" si="10"/>
        <v/>
      </c>
    </row>
    <row r="155" spans="1:21" s="101" customFormat="1" ht="15.95" customHeight="1" x14ac:dyDescent="0.2">
      <c r="A155" s="118" t="str">
        <f t="shared" si="11"/>
        <v xml:space="preserve"> </v>
      </c>
      <c r="B155" s="79"/>
      <c r="C155" s="80"/>
      <c r="D155" s="80"/>
      <c r="E155" s="8"/>
      <c r="F155" s="8"/>
      <c r="G155" s="15"/>
      <c r="H155" s="35"/>
      <c r="I155" s="8"/>
      <c r="J155" s="81"/>
      <c r="K155" s="82"/>
      <c r="L155" s="7"/>
      <c r="M155" s="7"/>
      <c r="N155" s="119"/>
      <c r="O155" s="117"/>
      <c r="P155" s="117"/>
      <c r="Q155" s="117"/>
      <c r="R155" s="117"/>
      <c r="S155" s="78">
        <f t="shared" si="8"/>
        <v>0</v>
      </c>
      <c r="T155" s="78" t="str">
        <f t="shared" si="9"/>
        <v>C</v>
      </c>
      <c r="U155" s="83" t="str">
        <f t="shared" si="10"/>
        <v/>
      </c>
    </row>
    <row r="156" spans="1:21" s="101" customFormat="1" ht="15.95" customHeight="1" x14ac:dyDescent="0.2">
      <c r="A156" s="118" t="str">
        <f t="shared" si="11"/>
        <v xml:space="preserve"> </v>
      </c>
      <c r="B156" s="79"/>
      <c r="C156" s="80"/>
      <c r="D156" s="80"/>
      <c r="E156" s="8"/>
      <c r="F156" s="8"/>
      <c r="G156" s="15"/>
      <c r="H156" s="35"/>
      <c r="I156" s="8"/>
      <c r="J156" s="81"/>
      <c r="K156" s="82"/>
      <c r="L156" s="7"/>
      <c r="M156" s="7"/>
      <c r="N156" s="119"/>
      <c r="O156" s="117"/>
      <c r="P156" s="117"/>
      <c r="Q156" s="117"/>
      <c r="R156" s="117"/>
      <c r="S156" s="78">
        <f t="shared" si="8"/>
        <v>0</v>
      </c>
      <c r="T156" s="78" t="str">
        <f t="shared" si="9"/>
        <v>C</v>
      </c>
      <c r="U156" s="83" t="str">
        <f t="shared" si="10"/>
        <v/>
      </c>
    </row>
    <row r="157" spans="1:21" s="101" customFormat="1" ht="15.95" customHeight="1" x14ac:dyDescent="0.2">
      <c r="A157" s="118" t="str">
        <f t="shared" si="11"/>
        <v xml:space="preserve"> </v>
      </c>
      <c r="B157" s="79"/>
      <c r="C157" s="80"/>
      <c r="D157" s="80"/>
      <c r="E157" s="8"/>
      <c r="F157" s="8"/>
      <c r="G157" s="15"/>
      <c r="H157" s="35"/>
      <c r="I157" s="8"/>
      <c r="J157" s="81"/>
      <c r="K157" s="82"/>
      <c r="L157" s="7"/>
      <c r="M157" s="7"/>
      <c r="N157" s="119"/>
      <c r="O157" s="117"/>
      <c r="P157" s="117"/>
      <c r="Q157" s="117"/>
      <c r="R157" s="117"/>
      <c r="S157" s="78">
        <f t="shared" si="8"/>
        <v>0</v>
      </c>
      <c r="T157" s="78" t="str">
        <f t="shared" si="9"/>
        <v>C</v>
      </c>
      <c r="U157" s="83" t="str">
        <f t="shared" si="10"/>
        <v/>
      </c>
    </row>
    <row r="158" spans="1:21" s="101" customFormat="1" ht="15.95" customHeight="1" x14ac:dyDescent="0.2">
      <c r="A158" s="118" t="str">
        <f t="shared" si="11"/>
        <v xml:space="preserve"> </v>
      </c>
      <c r="B158" s="79"/>
      <c r="C158" s="80"/>
      <c r="D158" s="80"/>
      <c r="E158" s="8"/>
      <c r="F158" s="8"/>
      <c r="G158" s="15"/>
      <c r="H158" s="35"/>
      <c r="I158" s="8"/>
      <c r="J158" s="81"/>
      <c r="K158" s="82"/>
      <c r="L158" s="7"/>
      <c r="M158" s="7"/>
      <c r="N158" s="119"/>
      <c r="O158" s="117"/>
      <c r="P158" s="117"/>
      <c r="Q158" s="117"/>
      <c r="R158" s="117"/>
      <c r="S158" s="78">
        <f t="shared" si="8"/>
        <v>0</v>
      </c>
      <c r="T158" s="78" t="str">
        <f t="shared" si="9"/>
        <v>C</v>
      </c>
      <c r="U158" s="83" t="str">
        <f t="shared" si="10"/>
        <v/>
      </c>
    </row>
    <row r="159" spans="1:21" s="101" customFormat="1" ht="15.95" customHeight="1" x14ac:dyDescent="0.2">
      <c r="A159" s="118" t="str">
        <f t="shared" si="11"/>
        <v xml:space="preserve"> </v>
      </c>
      <c r="B159" s="79"/>
      <c r="C159" s="80"/>
      <c r="D159" s="80"/>
      <c r="E159" s="8"/>
      <c r="F159" s="8"/>
      <c r="G159" s="15"/>
      <c r="H159" s="35"/>
      <c r="I159" s="8"/>
      <c r="J159" s="81"/>
      <c r="K159" s="82"/>
      <c r="L159" s="7"/>
      <c r="M159" s="7"/>
      <c r="N159" s="119"/>
      <c r="O159" s="117"/>
      <c r="P159" s="117"/>
      <c r="Q159" s="117"/>
      <c r="R159" s="117"/>
      <c r="S159" s="78">
        <f t="shared" si="8"/>
        <v>0</v>
      </c>
      <c r="T159" s="78" t="str">
        <f t="shared" si="9"/>
        <v>C</v>
      </c>
      <c r="U159" s="83" t="str">
        <f t="shared" si="10"/>
        <v/>
      </c>
    </row>
    <row r="160" spans="1:21" s="101" customFormat="1" ht="15.95" customHeight="1" x14ac:dyDescent="0.2">
      <c r="A160" s="118" t="str">
        <f t="shared" si="11"/>
        <v xml:space="preserve"> </v>
      </c>
      <c r="B160" s="79"/>
      <c r="C160" s="80"/>
      <c r="D160" s="80"/>
      <c r="E160" s="8"/>
      <c r="F160" s="8"/>
      <c r="G160" s="15"/>
      <c r="H160" s="35"/>
      <c r="I160" s="8"/>
      <c r="J160" s="81"/>
      <c r="K160" s="82"/>
      <c r="L160" s="7"/>
      <c r="M160" s="7"/>
      <c r="N160" s="119"/>
      <c r="O160" s="117"/>
      <c r="P160" s="117"/>
      <c r="Q160" s="117"/>
      <c r="R160" s="117"/>
      <c r="S160" s="78">
        <f t="shared" si="8"/>
        <v>0</v>
      </c>
      <c r="T160" s="78" t="str">
        <f t="shared" si="9"/>
        <v>C</v>
      </c>
      <c r="U160" s="83" t="str">
        <f t="shared" si="10"/>
        <v/>
      </c>
    </row>
    <row r="161" spans="1:21" s="101" customFormat="1" ht="15.95" customHeight="1" x14ac:dyDescent="0.2">
      <c r="A161" s="118" t="str">
        <f t="shared" si="11"/>
        <v xml:space="preserve"> </v>
      </c>
      <c r="B161" s="79"/>
      <c r="C161" s="80"/>
      <c r="D161" s="80"/>
      <c r="E161" s="8"/>
      <c r="F161" s="8"/>
      <c r="G161" s="15"/>
      <c r="H161" s="35"/>
      <c r="I161" s="8"/>
      <c r="J161" s="81"/>
      <c r="K161" s="82"/>
      <c r="L161" s="7"/>
      <c r="M161" s="7"/>
      <c r="N161" s="119"/>
      <c r="O161" s="117"/>
      <c r="P161" s="117"/>
      <c r="Q161" s="117"/>
      <c r="R161" s="117"/>
      <c r="S161" s="78">
        <f t="shared" si="8"/>
        <v>0</v>
      </c>
      <c r="T161" s="78" t="str">
        <f t="shared" si="9"/>
        <v>C</v>
      </c>
      <c r="U161" s="83" t="str">
        <f t="shared" si="10"/>
        <v/>
      </c>
    </row>
    <row r="162" spans="1:21" s="101" customFormat="1" ht="15.95" customHeight="1" x14ac:dyDescent="0.2">
      <c r="A162" s="118" t="str">
        <f t="shared" si="11"/>
        <v xml:space="preserve"> </v>
      </c>
      <c r="B162" s="79"/>
      <c r="C162" s="80"/>
      <c r="D162" s="80"/>
      <c r="E162" s="8"/>
      <c r="F162" s="8"/>
      <c r="G162" s="15"/>
      <c r="H162" s="35"/>
      <c r="I162" s="8"/>
      <c r="J162" s="81"/>
      <c r="K162" s="82"/>
      <c r="L162" s="7"/>
      <c r="M162" s="7"/>
      <c r="N162" s="119"/>
      <c r="O162" s="117"/>
      <c r="P162" s="117"/>
      <c r="Q162" s="117"/>
      <c r="R162" s="117"/>
      <c r="S162" s="78">
        <f t="shared" si="8"/>
        <v>0</v>
      </c>
      <c r="T162" s="78" t="str">
        <f t="shared" si="9"/>
        <v>C</v>
      </c>
      <c r="U162" s="83" t="str">
        <f t="shared" si="10"/>
        <v/>
      </c>
    </row>
    <row r="163" spans="1:21" s="101" customFormat="1" ht="15.95" customHeight="1" x14ac:dyDescent="0.2">
      <c r="A163" s="118" t="str">
        <f t="shared" si="11"/>
        <v xml:space="preserve"> </v>
      </c>
      <c r="B163" s="79"/>
      <c r="C163" s="80"/>
      <c r="D163" s="80"/>
      <c r="E163" s="8"/>
      <c r="F163" s="8"/>
      <c r="G163" s="15"/>
      <c r="H163" s="35"/>
      <c r="I163" s="8"/>
      <c r="J163" s="81"/>
      <c r="K163" s="82"/>
      <c r="L163" s="7"/>
      <c r="M163" s="7"/>
      <c r="N163" s="119"/>
      <c r="O163" s="117"/>
      <c r="P163" s="117"/>
      <c r="Q163" s="117"/>
      <c r="R163" s="117"/>
      <c r="S163" s="78">
        <f t="shared" si="8"/>
        <v>0</v>
      </c>
      <c r="T163" s="78" t="str">
        <f t="shared" si="9"/>
        <v>C</v>
      </c>
      <c r="U163" s="83" t="str">
        <f t="shared" si="10"/>
        <v/>
      </c>
    </row>
    <row r="164" spans="1:21" s="101" customFormat="1" ht="15.95" customHeight="1" x14ac:dyDescent="0.2">
      <c r="A164" s="118" t="str">
        <f t="shared" si="11"/>
        <v xml:space="preserve"> </v>
      </c>
      <c r="B164" s="79"/>
      <c r="C164" s="80"/>
      <c r="D164" s="80"/>
      <c r="E164" s="8"/>
      <c r="F164" s="8"/>
      <c r="G164" s="15"/>
      <c r="H164" s="35"/>
      <c r="I164" s="8"/>
      <c r="J164" s="81"/>
      <c r="K164" s="82"/>
      <c r="L164" s="7"/>
      <c r="M164" s="7"/>
      <c r="N164" s="119"/>
      <c r="O164" s="117"/>
      <c r="P164" s="117"/>
      <c r="Q164" s="117"/>
      <c r="R164" s="117"/>
      <c r="S164" s="78">
        <f t="shared" si="8"/>
        <v>0</v>
      </c>
      <c r="T164" s="78" t="str">
        <f t="shared" si="9"/>
        <v>C</v>
      </c>
      <c r="U164" s="83" t="str">
        <f t="shared" si="10"/>
        <v/>
      </c>
    </row>
    <row r="165" spans="1:21" s="101" customFormat="1" ht="15.95" customHeight="1" x14ac:dyDescent="0.2">
      <c r="A165" s="118" t="str">
        <f t="shared" si="11"/>
        <v xml:space="preserve"> </v>
      </c>
      <c r="B165" s="79"/>
      <c r="C165" s="80"/>
      <c r="D165" s="80"/>
      <c r="E165" s="8"/>
      <c r="F165" s="8"/>
      <c r="G165" s="15"/>
      <c r="H165" s="35"/>
      <c r="I165" s="8"/>
      <c r="J165" s="81"/>
      <c r="K165" s="82"/>
      <c r="L165" s="7"/>
      <c r="M165" s="7"/>
      <c r="N165" s="119"/>
      <c r="O165" s="117"/>
      <c r="P165" s="117"/>
      <c r="Q165" s="117"/>
      <c r="R165" s="117"/>
      <c r="S165" s="78">
        <f t="shared" si="8"/>
        <v>0</v>
      </c>
      <c r="T165" s="78" t="str">
        <f t="shared" si="9"/>
        <v>C</v>
      </c>
      <c r="U165" s="83" t="str">
        <f t="shared" si="10"/>
        <v/>
      </c>
    </row>
    <row r="166" spans="1:21" s="101" customFormat="1" ht="15.95" customHeight="1" x14ac:dyDescent="0.2">
      <c r="A166" s="118" t="str">
        <f t="shared" si="11"/>
        <v xml:space="preserve"> </v>
      </c>
      <c r="B166" s="79"/>
      <c r="C166" s="80"/>
      <c r="D166" s="80"/>
      <c r="E166" s="8"/>
      <c r="F166" s="8"/>
      <c r="G166" s="15"/>
      <c r="H166" s="35"/>
      <c r="I166" s="8"/>
      <c r="J166" s="81"/>
      <c r="K166" s="82"/>
      <c r="L166" s="7"/>
      <c r="M166" s="7"/>
      <c r="N166" s="119"/>
      <c r="O166" s="117"/>
      <c r="P166" s="117"/>
      <c r="Q166" s="117"/>
      <c r="R166" s="117"/>
      <c r="S166" s="78">
        <f t="shared" si="8"/>
        <v>0</v>
      </c>
      <c r="T166" s="78" t="str">
        <f t="shared" si="9"/>
        <v>C</v>
      </c>
      <c r="U166" s="83" t="str">
        <f t="shared" si="10"/>
        <v/>
      </c>
    </row>
    <row r="167" spans="1:21" s="101" customFormat="1" ht="15.95" customHeight="1" x14ac:dyDescent="0.2">
      <c r="A167" s="118" t="str">
        <f t="shared" si="11"/>
        <v xml:space="preserve"> </v>
      </c>
      <c r="B167" s="79"/>
      <c r="C167" s="80"/>
      <c r="D167" s="80"/>
      <c r="E167" s="8"/>
      <c r="F167" s="8"/>
      <c r="G167" s="15"/>
      <c r="H167" s="35"/>
      <c r="I167" s="8"/>
      <c r="J167" s="81"/>
      <c r="K167" s="82"/>
      <c r="L167" s="7"/>
      <c r="M167" s="7"/>
      <c r="N167" s="119"/>
      <c r="O167" s="117"/>
      <c r="P167" s="117"/>
      <c r="Q167" s="117"/>
      <c r="R167" s="117"/>
      <c r="S167" s="78">
        <f t="shared" si="8"/>
        <v>0</v>
      </c>
      <c r="T167" s="78" t="str">
        <f t="shared" si="9"/>
        <v>C</v>
      </c>
      <c r="U167" s="83" t="str">
        <f t="shared" si="10"/>
        <v/>
      </c>
    </row>
    <row r="168" spans="1:21" s="101" customFormat="1" ht="15.95" customHeight="1" x14ac:dyDescent="0.2">
      <c r="A168" s="118" t="str">
        <f t="shared" si="11"/>
        <v xml:space="preserve"> </v>
      </c>
      <c r="B168" s="79"/>
      <c r="C168" s="80"/>
      <c r="D168" s="80"/>
      <c r="E168" s="8"/>
      <c r="F168" s="8"/>
      <c r="G168" s="15"/>
      <c r="H168" s="35"/>
      <c r="I168" s="8"/>
      <c r="J168" s="81"/>
      <c r="K168" s="82"/>
      <c r="L168" s="7"/>
      <c r="M168" s="7"/>
      <c r="N168" s="119"/>
      <c r="O168" s="117"/>
      <c r="P168" s="117"/>
      <c r="Q168" s="117"/>
      <c r="R168" s="117"/>
      <c r="S168" s="78">
        <f t="shared" si="8"/>
        <v>0</v>
      </c>
      <c r="T168" s="78" t="str">
        <f t="shared" si="9"/>
        <v>C</v>
      </c>
      <c r="U168" s="83" t="str">
        <f t="shared" si="10"/>
        <v/>
      </c>
    </row>
    <row r="169" spans="1:21" s="101" customFormat="1" ht="15.95" customHeight="1" x14ac:dyDescent="0.2">
      <c r="A169" s="118" t="str">
        <f t="shared" si="11"/>
        <v xml:space="preserve"> </v>
      </c>
      <c r="B169" s="79"/>
      <c r="C169" s="80"/>
      <c r="D169" s="80"/>
      <c r="E169" s="8"/>
      <c r="F169" s="8"/>
      <c r="G169" s="15"/>
      <c r="H169" s="35"/>
      <c r="I169" s="8"/>
      <c r="J169" s="81"/>
      <c r="K169" s="82"/>
      <c r="L169" s="7"/>
      <c r="M169" s="7"/>
      <c r="N169" s="119"/>
      <c r="O169" s="117"/>
      <c r="P169" s="117"/>
      <c r="Q169" s="117"/>
      <c r="R169" s="117"/>
      <c r="S169" s="78">
        <f t="shared" si="8"/>
        <v>0</v>
      </c>
      <c r="T169" s="78" t="str">
        <f t="shared" si="9"/>
        <v>C</v>
      </c>
      <c r="U169" s="83" t="str">
        <f t="shared" si="10"/>
        <v/>
      </c>
    </row>
    <row r="170" spans="1:21" s="101" customFormat="1" ht="15.95" customHeight="1" x14ac:dyDescent="0.2">
      <c r="A170" s="118" t="str">
        <f t="shared" si="11"/>
        <v xml:space="preserve"> </v>
      </c>
      <c r="B170" s="79"/>
      <c r="C170" s="80"/>
      <c r="D170" s="80"/>
      <c r="E170" s="8"/>
      <c r="F170" s="8"/>
      <c r="G170" s="15"/>
      <c r="H170" s="35"/>
      <c r="I170" s="8"/>
      <c r="J170" s="81"/>
      <c r="K170" s="82"/>
      <c r="L170" s="7"/>
      <c r="M170" s="7"/>
      <c r="N170" s="119"/>
      <c r="O170" s="117"/>
      <c r="P170" s="117"/>
      <c r="Q170" s="117"/>
      <c r="R170" s="117"/>
      <c r="S170" s="78">
        <f t="shared" si="8"/>
        <v>0</v>
      </c>
      <c r="T170" s="78" t="str">
        <f t="shared" si="9"/>
        <v>C</v>
      </c>
      <c r="U170" s="83" t="str">
        <f t="shared" si="10"/>
        <v/>
      </c>
    </row>
    <row r="171" spans="1:21" s="101" customFormat="1" ht="15.95" customHeight="1" x14ac:dyDescent="0.2">
      <c r="A171" s="118" t="str">
        <f t="shared" si="11"/>
        <v xml:space="preserve"> </v>
      </c>
      <c r="B171" s="79"/>
      <c r="C171" s="80"/>
      <c r="D171" s="80"/>
      <c r="E171" s="8"/>
      <c r="F171" s="8"/>
      <c r="G171" s="15"/>
      <c r="H171" s="35"/>
      <c r="I171" s="8"/>
      <c r="J171" s="81"/>
      <c r="K171" s="82"/>
      <c r="L171" s="7"/>
      <c r="M171" s="7"/>
      <c r="N171" s="119"/>
      <c r="O171" s="117"/>
      <c r="P171" s="117"/>
      <c r="Q171" s="117"/>
      <c r="R171" s="117"/>
      <c r="S171" s="78">
        <f t="shared" si="8"/>
        <v>0</v>
      </c>
      <c r="T171" s="78" t="str">
        <f t="shared" si="9"/>
        <v>C</v>
      </c>
      <c r="U171" s="83" t="str">
        <f t="shared" si="10"/>
        <v/>
      </c>
    </row>
    <row r="172" spans="1:21" s="101" customFormat="1" ht="15.95" customHeight="1" x14ac:dyDescent="0.2">
      <c r="A172" s="118" t="str">
        <f t="shared" si="11"/>
        <v xml:space="preserve"> </v>
      </c>
      <c r="B172" s="79"/>
      <c r="C172" s="80"/>
      <c r="D172" s="80"/>
      <c r="E172" s="8"/>
      <c r="F172" s="8"/>
      <c r="G172" s="15"/>
      <c r="H172" s="35"/>
      <c r="I172" s="8"/>
      <c r="J172" s="81"/>
      <c r="K172" s="82"/>
      <c r="L172" s="7"/>
      <c r="M172" s="7"/>
      <c r="N172" s="119"/>
      <c r="O172" s="117"/>
      <c r="P172" s="117"/>
      <c r="Q172" s="117"/>
      <c r="R172" s="117"/>
      <c r="S172" s="78">
        <f t="shared" si="8"/>
        <v>0</v>
      </c>
      <c r="T172" s="78" t="str">
        <f t="shared" si="9"/>
        <v>C</v>
      </c>
      <c r="U172" s="83" t="str">
        <f t="shared" si="10"/>
        <v/>
      </c>
    </row>
    <row r="173" spans="1:21" s="101" customFormat="1" ht="15.95" customHeight="1" x14ac:dyDescent="0.2">
      <c r="A173" s="118" t="str">
        <f t="shared" si="11"/>
        <v xml:space="preserve"> </v>
      </c>
      <c r="B173" s="79"/>
      <c r="C173" s="80"/>
      <c r="D173" s="80"/>
      <c r="E173" s="8"/>
      <c r="F173" s="8"/>
      <c r="G173" s="15"/>
      <c r="H173" s="35"/>
      <c r="I173" s="8"/>
      <c r="J173" s="81"/>
      <c r="K173" s="82"/>
      <c r="L173" s="7"/>
      <c r="M173" s="7"/>
      <c r="N173" s="119"/>
      <c r="O173" s="117"/>
      <c r="P173" s="117"/>
      <c r="Q173" s="117"/>
      <c r="R173" s="117"/>
      <c r="S173" s="78">
        <f t="shared" si="8"/>
        <v>0</v>
      </c>
      <c r="T173" s="78" t="str">
        <f t="shared" si="9"/>
        <v>C</v>
      </c>
      <c r="U173" s="83" t="str">
        <f t="shared" si="10"/>
        <v/>
      </c>
    </row>
    <row r="174" spans="1:21" s="101" customFormat="1" ht="15.95" customHeight="1" x14ac:dyDescent="0.2">
      <c r="A174" s="118" t="str">
        <f t="shared" si="11"/>
        <v xml:space="preserve"> </v>
      </c>
      <c r="B174" s="79"/>
      <c r="C174" s="80"/>
      <c r="D174" s="80"/>
      <c r="E174" s="8"/>
      <c r="F174" s="8"/>
      <c r="G174" s="15"/>
      <c r="H174" s="35"/>
      <c r="I174" s="8"/>
      <c r="J174" s="81"/>
      <c r="K174" s="82"/>
      <c r="L174" s="7"/>
      <c r="M174" s="7"/>
      <c r="N174" s="119"/>
      <c r="O174" s="117"/>
      <c r="P174" s="117"/>
      <c r="Q174" s="117"/>
      <c r="R174" s="117"/>
      <c r="S174" s="78">
        <f t="shared" si="8"/>
        <v>0</v>
      </c>
      <c r="T174" s="78" t="str">
        <f t="shared" si="9"/>
        <v>C</v>
      </c>
      <c r="U174" s="83" t="str">
        <f t="shared" si="10"/>
        <v/>
      </c>
    </row>
    <row r="175" spans="1:21" s="101" customFormat="1" ht="15.95" customHeight="1" x14ac:dyDescent="0.2">
      <c r="A175" s="118" t="str">
        <f t="shared" si="11"/>
        <v xml:space="preserve"> </v>
      </c>
      <c r="B175" s="79"/>
      <c r="C175" s="80"/>
      <c r="D175" s="80"/>
      <c r="E175" s="8"/>
      <c r="F175" s="8"/>
      <c r="G175" s="15"/>
      <c r="H175" s="35"/>
      <c r="I175" s="8"/>
      <c r="J175" s="81"/>
      <c r="K175" s="82"/>
      <c r="L175" s="7"/>
      <c r="M175" s="7"/>
      <c r="N175" s="119"/>
      <c r="O175" s="117"/>
      <c r="P175" s="117"/>
      <c r="Q175" s="117"/>
      <c r="R175" s="117"/>
      <c r="S175" s="78">
        <f t="shared" si="8"/>
        <v>0</v>
      </c>
      <c r="T175" s="78" t="str">
        <f t="shared" si="9"/>
        <v>C</v>
      </c>
      <c r="U175" s="83" t="str">
        <f t="shared" si="10"/>
        <v/>
      </c>
    </row>
    <row r="176" spans="1:21" s="101" customFormat="1" ht="15.95" customHeight="1" x14ac:dyDescent="0.2">
      <c r="A176" s="118" t="str">
        <f t="shared" si="11"/>
        <v xml:space="preserve"> </v>
      </c>
      <c r="B176" s="79"/>
      <c r="C176" s="80"/>
      <c r="D176" s="80"/>
      <c r="E176" s="8"/>
      <c r="F176" s="8"/>
      <c r="G176" s="15"/>
      <c r="H176" s="35"/>
      <c r="I176" s="8"/>
      <c r="J176" s="81"/>
      <c r="K176" s="82"/>
      <c r="L176" s="7"/>
      <c r="M176" s="7"/>
      <c r="N176" s="119"/>
      <c r="O176" s="117"/>
      <c r="P176" s="117"/>
      <c r="Q176" s="117"/>
      <c r="R176" s="117"/>
      <c r="S176" s="78">
        <f t="shared" si="8"/>
        <v>0</v>
      </c>
      <c r="T176" s="78" t="str">
        <f t="shared" si="9"/>
        <v>C</v>
      </c>
      <c r="U176" s="83" t="str">
        <f t="shared" si="10"/>
        <v/>
      </c>
    </row>
    <row r="177" spans="1:21" s="101" customFormat="1" ht="15.95" customHeight="1" x14ac:dyDescent="0.2">
      <c r="A177" s="118" t="str">
        <f t="shared" si="11"/>
        <v xml:space="preserve"> </v>
      </c>
      <c r="B177" s="79"/>
      <c r="C177" s="80"/>
      <c r="D177" s="80"/>
      <c r="E177" s="8"/>
      <c r="F177" s="8"/>
      <c r="G177" s="15"/>
      <c r="H177" s="35"/>
      <c r="I177" s="8"/>
      <c r="J177" s="81"/>
      <c r="K177" s="82"/>
      <c r="L177" s="7"/>
      <c r="M177" s="7"/>
      <c r="N177" s="119"/>
      <c r="O177" s="117"/>
      <c r="P177" s="117"/>
      <c r="Q177" s="117"/>
      <c r="R177" s="117"/>
      <c r="S177" s="78">
        <f t="shared" si="8"/>
        <v>0</v>
      </c>
      <c r="T177" s="78" t="str">
        <f t="shared" si="9"/>
        <v>C</v>
      </c>
      <c r="U177" s="83" t="str">
        <f t="shared" si="10"/>
        <v/>
      </c>
    </row>
    <row r="178" spans="1:21" s="101" customFormat="1" ht="15.95" customHeight="1" x14ac:dyDescent="0.2">
      <c r="A178" s="118" t="str">
        <f t="shared" si="11"/>
        <v xml:space="preserve"> </v>
      </c>
      <c r="B178" s="79"/>
      <c r="C178" s="80"/>
      <c r="D178" s="80"/>
      <c r="E178" s="8"/>
      <c r="F178" s="8"/>
      <c r="G178" s="15"/>
      <c r="H178" s="35"/>
      <c r="I178" s="8"/>
      <c r="J178" s="81"/>
      <c r="K178" s="82"/>
      <c r="L178" s="7"/>
      <c r="M178" s="7"/>
      <c r="N178" s="119"/>
      <c r="O178" s="117"/>
      <c r="P178" s="117"/>
      <c r="Q178" s="117"/>
      <c r="R178" s="117"/>
      <c r="S178" s="78">
        <f t="shared" si="8"/>
        <v>0</v>
      </c>
      <c r="T178" s="78" t="str">
        <f t="shared" si="9"/>
        <v>C</v>
      </c>
      <c r="U178" s="83" t="str">
        <f t="shared" si="10"/>
        <v/>
      </c>
    </row>
    <row r="179" spans="1:21" s="101" customFormat="1" ht="15.95" customHeight="1" x14ac:dyDescent="0.2">
      <c r="A179" s="118" t="str">
        <f t="shared" si="11"/>
        <v xml:space="preserve"> </v>
      </c>
      <c r="B179" s="79"/>
      <c r="C179" s="80"/>
      <c r="D179" s="80"/>
      <c r="E179" s="8"/>
      <c r="F179" s="8"/>
      <c r="G179" s="15"/>
      <c r="H179" s="35"/>
      <c r="I179" s="8"/>
      <c r="J179" s="81"/>
      <c r="K179" s="82"/>
      <c r="L179" s="7"/>
      <c r="M179" s="7"/>
      <c r="N179" s="119"/>
      <c r="O179" s="117"/>
      <c r="P179" s="117"/>
      <c r="Q179" s="117"/>
      <c r="R179" s="117"/>
      <c r="S179" s="78">
        <f t="shared" si="8"/>
        <v>0</v>
      </c>
      <c r="T179" s="78" t="str">
        <f t="shared" si="9"/>
        <v>C</v>
      </c>
      <c r="U179" s="83" t="str">
        <f t="shared" si="10"/>
        <v/>
      </c>
    </row>
    <row r="180" spans="1:21" s="101" customFormat="1" ht="15.95" customHeight="1" x14ac:dyDescent="0.2">
      <c r="A180" s="118" t="str">
        <f t="shared" si="11"/>
        <v xml:space="preserve"> </v>
      </c>
      <c r="B180" s="79"/>
      <c r="C180" s="80"/>
      <c r="D180" s="80"/>
      <c r="E180" s="8"/>
      <c r="F180" s="8"/>
      <c r="G180" s="15"/>
      <c r="H180" s="35"/>
      <c r="I180" s="8"/>
      <c r="J180" s="81"/>
      <c r="K180" s="82"/>
      <c r="L180" s="7"/>
      <c r="M180" s="7"/>
      <c r="N180" s="119"/>
      <c r="O180" s="117"/>
      <c r="P180" s="117"/>
      <c r="Q180" s="117"/>
      <c r="R180" s="117"/>
      <c r="S180" s="78">
        <f t="shared" si="8"/>
        <v>0</v>
      </c>
      <c r="T180" s="78" t="str">
        <f t="shared" si="9"/>
        <v>C</v>
      </c>
      <c r="U180" s="83" t="str">
        <f t="shared" si="10"/>
        <v/>
      </c>
    </row>
    <row r="181" spans="1:21" s="101" customFormat="1" ht="15.95" customHeight="1" x14ac:dyDescent="0.2">
      <c r="A181" s="118" t="str">
        <f t="shared" si="11"/>
        <v xml:space="preserve"> </v>
      </c>
      <c r="B181" s="79"/>
      <c r="C181" s="80"/>
      <c r="D181" s="80"/>
      <c r="E181" s="8"/>
      <c r="F181" s="8"/>
      <c r="G181" s="15"/>
      <c r="H181" s="35"/>
      <c r="I181" s="8"/>
      <c r="J181" s="81"/>
      <c r="K181" s="82"/>
      <c r="L181" s="7"/>
      <c r="M181" s="7"/>
      <c r="N181" s="119"/>
      <c r="O181" s="117"/>
      <c r="P181" s="117"/>
      <c r="Q181" s="117"/>
      <c r="R181" s="117"/>
      <c r="S181" s="78">
        <f t="shared" si="8"/>
        <v>0</v>
      </c>
      <c r="T181" s="78" t="str">
        <f t="shared" si="9"/>
        <v>C</v>
      </c>
      <c r="U181" s="83" t="str">
        <f t="shared" si="10"/>
        <v/>
      </c>
    </row>
    <row r="182" spans="1:21" s="101" customFormat="1" ht="15.95" customHeight="1" x14ac:dyDescent="0.2">
      <c r="A182" s="118" t="str">
        <f t="shared" si="11"/>
        <v xml:space="preserve"> </v>
      </c>
      <c r="B182" s="79"/>
      <c r="C182" s="80"/>
      <c r="D182" s="80"/>
      <c r="E182" s="8"/>
      <c r="F182" s="8"/>
      <c r="G182" s="15"/>
      <c r="H182" s="35"/>
      <c r="I182" s="8"/>
      <c r="J182" s="81"/>
      <c r="K182" s="82"/>
      <c r="L182" s="7"/>
      <c r="M182" s="7"/>
      <c r="N182" s="119"/>
      <c r="O182" s="117"/>
      <c r="P182" s="117"/>
      <c r="Q182" s="117"/>
      <c r="R182" s="117"/>
      <c r="S182" s="78">
        <f t="shared" si="8"/>
        <v>0</v>
      </c>
      <c r="T182" s="78" t="str">
        <f t="shared" si="9"/>
        <v>C</v>
      </c>
      <c r="U182" s="83" t="str">
        <f t="shared" si="10"/>
        <v/>
      </c>
    </row>
    <row r="183" spans="1:21" s="101" customFormat="1" ht="15.95" customHeight="1" x14ac:dyDescent="0.2">
      <c r="A183" s="118" t="str">
        <f t="shared" si="11"/>
        <v xml:space="preserve"> </v>
      </c>
      <c r="B183" s="79"/>
      <c r="C183" s="80"/>
      <c r="D183" s="80"/>
      <c r="E183" s="8"/>
      <c r="F183" s="8"/>
      <c r="G183" s="15"/>
      <c r="H183" s="35"/>
      <c r="I183" s="8"/>
      <c r="J183" s="81"/>
      <c r="K183" s="82"/>
      <c r="L183" s="7"/>
      <c r="M183" s="7"/>
      <c r="N183" s="119"/>
      <c r="O183" s="117"/>
      <c r="P183" s="117"/>
      <c r="Q183" s="117"/>
      <c r="R183" s="117"/>
      <c r="S183" s="78">
        <f t="shared" si="8"/>
        <v>0</v>
      </c>
      <c r="T183" s="78" t="str">
        <f t="shared" si="9"/>
        <v>C</v>
      </c>
      <c r="U183" s="83" t="str">
        <f t="shared" si="10"/>
        <v/>
      </c>
    </row>
    <row r="184" spans="1:21" s="101" customFormat="1" ht="15.95" customHeight="1" x14ac:dyDescent="0.2">
      <c r="A184" s="118" t="str">
        <f t="shared" si="11"/>
        <v xml:space="preserve"> </v>
      </c>
      <c r="B184" s="79"/>
      <c r="C184" s="80"/>
      <c r="D184" s="80"/>
      <c r="E184" s="8"/>
      <c r="F184" s="8"/>
      <c r="G184" s="15"/>
      <c r="H184" s="35"/>
      <c r="I184" s="8"/>
      <c r="J184" s="81"/>
      <c r="K184" s="82"/>
      <c r="L184" s="7"/>
      <c r="M184" s="7"/>
      <c r="N184" s="119"/>
      <c r="O184" s="117"/>
      <c r="P184" s="117"/>
      <c r="Q184" s="117"/>
      <c r="R184" s="117"/>
      <c r="S184" s="78">
        <f t="shared" si="8"/>
        <v>0</v>
      </c>
      <c r="T184" s="78" t="str">
        <f t="shared" si="9"/>
        <v>C</v>
      </c>
      <c r="U184" s="83" t="str">
        <f t="shared" si="10"/>
        <v/>
      </c>
    </row>
    <row r="185" spans="1:21" s="101" customFormat="1" ht="15.95" customHeight="1" x14ac:dyDescent="0.2">
      <c r="A185" s="118" t="str">
        <f t="shared" si="11"/>
        <v xml:space="preserve"> </v>
      </c>
      <c r="B185" s="79"/>
      <c r="C185" s="80"/>
      <c r="D185" s="80"/>
      <c r="E185" s="8"/>
      <c r="F185" s="8"/>
      <c r="G185" s="15"/>
      <c r="H185" s="35"/>
      <c r="I185" s="8"/>
      <c r="J185" s="81"/>
      <c r="K185" s="82"/>
      <c r="L185" s="7"/>
      <c r="M185" s="7"/>
      <c r="N185" s="119"/>
      <c r="O185" s="117"/>
      <c r="P185" s="117"/>
      <c r="Q185" s="117"/>
      <c r="R185" s="117"/>
      <c r="S185" s="78">
        <f t="shared" si="8"/>
        <v>0</v>
      </c>
      <c r="T185" s="78" t="str">
        <f t="shared" si="9"/>
        <v>C</v>
      </c>
      <c r="U185" s="83" t="str">
        <f t="shared" si="10"/>
        <v/>
      </c>
    </row>
    <row r="186" spans="1:21" s="101" customFormat="1" ht="15.95" customHeight="1" x14ac:dyDescent="0.2">
      <c r="A186" s="118" t="str">
        <f t="shared" si="11"/>
        <v xml:space="preserve"> </v>
      </c>
      <c r="B186" s="79"/>
      <c r="C186" s="80"/>
      <c r="D186" s="80"/>
      <c r="E186" s="8"/>
      <c r="F186" s="8"/>
      <c r="G186" s="15"/>
      <c r="H186" s="35"/>
      <c r="I186" s="8"/>
      <c r="J186" s="81"/>
      <c r="K186" s="82"/>
      <c r="L186" s="7"/>
      <c r="M186" s="7"/>
      <c r="N186" s="119"/>
      <c r="O186" s="117"/>
      <c r="P186" s="117"/>
      <c r="Q186" s="117"/>
      <c r="R186" s="117"/>
      <c r="S186" s="78">
        <f t="shared" si="8"/>
        <v>0</v>
      </c>
      <c r="T186" s="78" t="str">
        <f t="shared" si="9"/>
        <v>C</v>
      </c>
      <c r="U186" s="83" t="str">
        <f t="shared" si="10"/>
        <v/>
      </c>
    </row>
    <row r="187" spans="1:21" s="101" customFormat="1" ht="15.95" customHeight="1" x14ac:dyDescent="0.2">
      <c r="A187" s="118" t="str">
        <f t="shared" si="11"/>
        <v xml:space="preserve"> </v>
      </c>
      <c r="B187" s="79"/>
      <c r="C187" s="80"/>
      <c r="D187" s="80"/>
      <c r="E187" s="8"/>
      <c r="F187" s="8"/>
      <c r="G187" s="15"/>
      <c r="H187" s="35"/>
      <c r="I187" s="8"/>
      <c r="J187" s="81"/>
      <c r="K187" s="82"/>
      <c r="L187" s="7"/>
      <c r="M187" s="7"/>
      <c r="N187" s="119"/>
      <c r="O187" s="117"/>
      <c r="P187" s="117"/>
      <c r="Q187" s="117"/>
      <c r="R187" s="117"/>
      <c r="S187" s="78">
        <f t="shared" si="8"/>
        <v>0</v>
      </c>
      <c r="T187" s="78" t="str">
        <f t="shared" si="9"/>
        <v>C</v>
      </c>
      <c r="U187" s="83" t="str">
        <f t="shared" si="10"/>
        <v/>
      </c>
    </row>
    <row r="188" spans="1:21" s="101" customFormat="1" ht="15.95" customHeight="1" x14ac:dyDescent="0.2">
      <c r="A188" s="118" t="str">
        <f t="shared" si="11"/>
        <v xml:space="preserve"> </v>
      </c>
      <c r="B188" s="79"/>
      <c r="C188" s="80"/>
      <c r="D188" s="80"/>
      <c r="E188" s="8"/>
      <c r="F188" s="8"/>
      <c r="G188" s="15"/>
      <c r="H188" s="35"/>
      <c r="I188" s="8"/>
      <c r="J188" s="81"/>
      <c r="K188" s="82"/>
      <c r="L188" s="7"/>
      <c r="M188" s="7"/>
      <c r="N188" s="119"/>
      <c r="O188" s="117"/>
      <c r="P188" s="117"/>
      <c r="Q188" s="117"/>
      <c r="R188" s="117"/>
      <c r="S188" s="78">
        <f t="shared" si="8"/>
        <v>0</v>
      </c>
      <c r="T188" s="78" t="str">
        <f t="shared" si="9"/>
        <v>C</v>
      </c>
      <c r="U188" s="83" t="str">
        <f t="shared" si="10"/>
        <v/>
      </c>
    </row>
    <row r="189" spans="1:21" s="101" customFormat="1" ht="15.95" customHeight="1" x14ac:dyDescent="0.2">
      <c r="A189" s="118" t="str">
        <f t="shared" si="11"/>
        <v xml:space="preserve"> </v>
      </c>
      <c r="B189" s="79"/>
      <c r="C189" s="80"/>
      <c r="D189" s="80"/>
      <c r="E189" s="8"/>
      <c r="F189" s="8"/>
      <c r="G189" s="15"/>
      <c r="H189" s="35"/>
      <c r="I189" s="8"/>
      <c r="J189" s="81"/>
      <c r="K189" s="82"/>
      <c r="L189" s="7"/>
      <c r="M189" s="7"/>
      <c r="N189" s="119"/>
      <c r="O189" s="117"/>
      <c r="P189" s="117"/>
      <c r="Q189" s="117"/>
      <c r="R189" s="117"/>
      <c r="S189" s="78">
        <f t="shared" si="8"/>
        <v>0</v>
      </c>
      <c r="T189" s="78" t="str">
        <f t="shared" si="9"/>
        <v>C</v>
      </c>
      <c r="U189" s="83" t="str">
        <f t="shared" si="10"/>
        <v/>
      </c>
    </row>
    <row r="190" spans="1:21" s="101" customFormat="1" ht="15.95" customHeight="1" x14ac:dyDescent="0.2">
      <c r="A190" s="118" t="str">
        <f t="shared" si="11"/>
        <v xml:space="preserve"> </v>
      </c>
      <c r="B190" s="79"/>
      <c r="C190" s="80"/>
      <c r="D190" s="80"/>
      <c r="E190" s="8"/>
      <c r="F190" s="8"/>
      <c r="G190" s="15"/>
      <c r="H190" s="35"/>
      <c r="I190" s="8"/>
      <c r="J190" s="81"/>
      <c r="K190" s="82"/>
      <c r="L190" s="7"/>
      <c r="M190" s="7"/>
      <c r="N190" s="119"/>
      <c r="O190" s="117"/>
      <c r="P190" s="117"/>
      <c r="Q190" s="117"/>
      <c r="R190" s="117"/>
      <c r="S190" s="78">
        <f t="shared" si="8"/>
        <v>0</v>
      </c>
      <c r="T190" s="78" t="str">
        <f t="shared" si="9"/>
        <v>C</v>
      </c>
      <c r="U190" s="83" t="str">
        <f t="shared" si="10"/>
        <v/>
      </c>
    </row>
    <row r="191" spans="1:21" s="101" customFormat="1" ht="15.95" customHeight="1" x14ac:dyDescent="0.2">
      <c r="A191" s="118" t="str">
        <f t="shared" si="11"/>
        <v xml:space="preserve"> </v>
      </c>
      <c r="B191" s="79"/>
      <c r="C191" s="80"/>
      <c r="D191" s="80"/>
      <c r="E191" s="8"/>
      <c r="F191" s="8"/>
      <c r="G191" s="15"/>
      <c r="H191" s="35"/>
      <c r="I191" s="8"/>
      <c r="J191" s="81"/>
      <c r="K191" s="82"/>
      <c r="L191" s="7"/>
      <c r="M191" s="7"/>
      <c r="N191" s="119"/>
      <c r="O191" s="117"/>
      <c r="P191" s="117"/>
      <c r="Q191" s="117"/>
      <c r="R191" s="117"/>
      <c r="S191" s="78">
        <f t="shared" si="8"/>
        <v>0</v>
      </c>
      <c r="T191" s="78" t="str">
        <f t="shared" si="9"/>
        <v>C</v>
      </c>
      <c r="U191" s="83" t="str">
        <f t="shared" si="10"/>
        <v/>
      </c>
    </row>
    <row r="192" spans="1:21" s="101" customFormat="1" ht="15.95" customHeight="1" x14ac:dyDescent="0.2">
      <c r="A192" s="118" t="str">
        <f t="shared" si="11"/>
        <v xml:space="preserve"> </v>
      </c>
      <c r="B192" s="79"/>
      <c r="C192" s="80"/>
      <c r="D192" s="80"/>
      <c r="E192" s="8"/>
      <c r="F192" s="8"/>
      <c r="G192" s="15"/>
      <c r="H192" s="35"/>
      <c r="I192" s="8"/>
      <c r="J192" s="81"/>
      <c r="K192" s="82"/>
      <c r="L192" s="7"/>
      <c r="M192" s="7"/>
      <c r="N192" s="119"/>
      <c r="O192" s="117"/>
      <c r="P192" s="117"/>
      <c r="Q192" s="117"/>
      <c r="R192" s="117"/>
      <c r="S192" s="78">
        <f t="shared" si="8"/>
        <v>0</v>
      </c>
      <c r="T192" s="78" t="str">
        <f t="shared" si="9"/>
        <v>C</v>
      </c>
      <c r="U192" s="83" t="str">
        <f t="shared" si="10"/>
        <v/>
      </c>
    </row>
    <row r="193" spans="1:21" s="101" customFormat="1" ht="15.95" customHeight="1" x14ac:dyDescent="0.2">
      <c r="A193" s="118" t="str">
        <f t="shared" si="11"/>
        <v xml:space="preserve"> </v>
      </c>
      <c r="B193" s="79"/>
      <c r="C193" s="80"/>
      <c r="D193" s="80"/>
      <c r="E193" s="8"/>
      <c r="F193" s="8"/>
      <c r="G193" s="15"/>
      <c r="H193" s="35"/>
      <c r="I193" s="8"/>
      <c r="J193" s="81"/>
      <c r="K193" s="82"/>
      <c r="L193" s="7"/>
      <c r="M193" s="7"/>
      <c r="N193" s="119"/>
      <c r="O193" s="117"/>
      <c r="P193" s="117"/>
      <c r="Q193" s="117"/>
      <c r="R193" s="117"/>
      <c r="S193" s="78">
        <f t="shared" si="8"/>
        <v>0</v>
      </c>
      <c r="T193" s="78" t="str">
        <f t="shared" si="9"/>
        <v>C</v>
      </c>
      <c r="U193" s="83" t="str">
        <f t="shared" si="10"/>
        <v/>
      </c>
    </row>
    <row r="194" spans="1:21" s="101" customFormat="1" ht="15.95" customHeight="1" x14ac:dyDescent="0.2">
      <c r="A194" s="118" t="str">
        <f t="shared" si="11"/>
        <v xml:space="preserve"> </v>
      </c>
      <c r="B194" s="79"/>
      <c r="C194" s="80"/>
      <c r="D194" s="80"/>
      <c r="E194" s="8"/>
      <c r="F194" s="8"/>
      <c r="G194" s="15"/>
      <c r="H194" s="35"/>
      <c r="I194" s="8"/>
      <c r="J194" s="81"/>
      <c r="K194" s="82"/>
      <c r="L194" s="7"/>
      <c r="M194" s="7"/>
      <c r="N194" s="119"/>
      <c r="O194" s="117"/>
      <c r="P194" s="117"/>
      <c r="Q194" s="117"/>
      <c r="R194" s="117"/>
      <c r="S194" s="78">
        <f t="shared" si="8"/>
        <v>0</v>
      </c>
      <c r="T194" s="78" t="str">
        <f t="shared" si="9"/>
        <v>C</v>
      </c>
      <c r="U194" s="83" t="str">
        <f t="shared" si="10"/>
        <v/>
      </c>
    </row>
    <row r="195" spans="1:21" s="101" customFormat="1" ht="15.95" customHeight="1" x14ac:dyDescent="0.2">
      <c r="A195" s="118" t="str">
        <f t="shared" si="11"/>
        <v xml:space="preserve"> </v>
      </c>
      <c r="B195" s="79"/>
      <c r="C195" s="80"/>
      <c r="D195" s="80"/>
      <c r="E195" s="8"/>
      <c r="F195" s="8"/>
      <c r="G195" s="15"/>
      <c r="H195" s="35"/>
      <c r="I195" s="8"/>
      <c r="J195" s="81"/>
      <c r="K195" s="82"/>
      <c r="L195" s="7"/>
      <c r="M195" s="7"/>
      <c r="N195" s="119"/>
      <c r="O195" s="117"/>
      <c r="P195" s="117"/>
      <c r="Q195" s="117"/>
      <c r="R195" s="117"/>
      <c r="S195" s="78">
        <f t="shared" si="8"/>
        <v>0</v>
      </c>
      <c r="T195" s="78" t="str">
        <f t="shared" si="9"/>
        <v>C</v>
      </c>
      <c r="U195" s="83" t="str">
        <f t="shared" si="10"/>
        <v/>
      </c>
    </row>
    <row r="196" spans="1:21" s="101" customFormat="1" ht="15.95" customHeight="1" x14ac:dyDescent="0.2">
      <c r="A196" s="118" t="str">
        <f t="shared" si="11"/>
        <v xml:space="preserve"> </v>
      </c>
      <c r="B196" s="79"/>
      <c r="C196" s="80"/>
      <c r="D196" s="80"/>
      <c r="E196" s="8"/>
      <c r="F196" s="8"/>
      <c r="G196" s="15"/>
      <c r="H196" s="35"/>
      <c r="I196" s="8"/>
      <c r="J196" s="81"/>
      <c r="K196" s="82"/>
      <c r="L196" s="7"/>
      <c r="M196" s="7"/>
      <c r="N196" s="119"/>
      <c r="O196" s="117"/>
      <c r="P196" s="117"/>
      <c r="Q196" s="117"/>
      <c r="R196" s="117"/>
      <c r="S196" s="78">
        <f t="shared" si="8"/>
        <v>0</v>
      </c>
      <c r="T196" s="78" t="str">
        <f t="shared" si="9"/>
        <v>C</v>
      </c>
      <c r="U196" s="83" t="str">
        <f t="shared" si="10"/>
        <v/>
      </c>
    </row>
    <row r="197" spans="1:21" s="101" customFormat="1" ht="15.95" customHeight="1" x14ac:dyDescent="0.2">
      <c r="A197" s="118" t="str">
        <f t="shared" si="11"/>
        <v xml:space="preserve"> </v>
      </c>
      <c r="B197" s="79"/>
      <c r="C197" s="80"/>
      <c r="D197" s="80"/>
      <c r="E197" s="8"/>
      <c r="F197" s="8"/>
      <c r="G197" s="15"/>
      <c r="H197" s="35"/>
      <c r="I197" s="8"/>
      <c r="J197" s="81"/>
      <c r="K197" s="82"/>
      <c r="L197" s="7"/>
      <c r="M197" s="7"/>
      <c r="N197" s="119"/>
      <c r="O197" s="117"/>
      <c r="P197" s="117"/>
      <c r="Q197" s="117"/>
      <c r="R197" s="117"/>
      <c r="S197" s="78">
        <f t="shared" si="8"/>
        <v>0</v>
      </c>
      <c r="T197" s="78" t="str">
        <f t="shared" si="9"/>
        <v>C</v>
      </c>
      <c r="U197" s="83" t="str">
        <f t="shared" si="10"/>
        <v/>
      </c>
    </row>
    <row r="198" spans="1:21" s="101" customFormat="1" ht="15.95" customHeight="1" x14ac:dyDescent="0.2">
      <c r="A198" s="118" t="str">
        <f t="shared" si="11"/>
        <v xml:space="preserve"> </v>
      </c>
      <c r="B198" s="79"/>
      <c r="C198" s="80"/>
      <c r="D198" s="80"/>
      <c r="E198" s="8"/>
      <c r="F198" s="8"/>
      <c r="G198" s="15"/>
      <c r="H198" s="35"/>
      <c r="I198" s="8"/>
      <c r="J198" s="81"/>
      <c r="K198" s="82"/>
      <c r="L198" s="7"/>
      <c r="M198" s="7"/>
      <c r="N198" s="119"/>
      <c r="O198" s="117"/>
      <c r="P198" s="117"/>
      <c r="Q198" s="117"/>
      <c r="R198" s="117"/>
      <c r="S198" s="78">
        <f t="shared" si="8"/>
        <v>0</v>
      </c>
      <c r="T198" s="78" t="str">
        <f t="shared" si="9"/>
        <v>C</v>
      </c>
      <c r="U198" s="83" t="str">
        <f t="shared" si="10"/>
        <v/>
      </c>
    </row>
    <row r="199" spans="1:21" s="101" customFormat="1" ht="15.95" customHeight="1" x14ac:dyDescent="0.2">
      <c r="A199" s="118" t="str">
        <f t="shared" si="11"/>
        <v xml:space="preserve"> </v>
      </c>
      <c r="B199" s="79"/>
      <c r="C199" s="80"/>
      <c r="D199" s="80"/>
      <c r="E199" s="8"/>
      <c r="F199" s="8"/>
      <c r="G199" s="15"/>
      <c r="H199" s="35"/>
      <c r="I199" s="8"/>
      <c r="J199" s="81"/>
      <c r="K199" s="82"/>
      <c r="L199" s="7"/>
      <c r="M199" s="7"/>
      <c r="N199" s="119"/>
      <c r="O199" s="117"/>
      <c r="P199" s="117"/>
      <c r="Q199" s="117"/>
      <c r="R199" s="117"/>
      <c r="S199" s="78">
        <f t="shared" si="8"/>
        <v>0</v>
      </c>
      <c r="T199" s="78" t="str">
        <f t="shared" si="9"/>
        <v>C</v>
      </c>
      <c r="U199" s="83" t="str">
        <f t="shared" si="10"/>
        <v/>
      </c>
    </row>
    <row r="200" spans="1:21" s="101" customFormat="1" ht="15.95" customHeight="1" x14ac:dyDescent="0.2">
      <c r="A200" s="118" t="str">
        <f t="shared" si="11"/>
        <v xml:space="preserve"> </v>
      </c>
      <c r="B200" s="79"/>
      <c r="C200" s="80"/>
      <c r="D200" s="80"/>
      <c r="E200" s="8"/>
      <c r="F200" s="8"/>
      <c r="G200" s="15"/>
      <c r="H200" s="35"/>
      <c r="I200" s="8"/>
      <c r="J200" s="81"/>
      <c r="K200" s="82"/>
      <c r="L200" s="7"/>
      <c r="M200" s="7"/>
      <c r="N200" s="119"/>
      <c r="O200" s="117"/>
      <c r="P200" s="117"/>
      <c r="Q200" s="117"/>
      <c r="R200" s="117"/>
      <c r="S200" s="78">
        <f t="shared" si="8"/>
        <v>0</v>
      </c>
      <c r="T200" s="78" t="str">
        <f t="shared" si="9"/>
        <v>C</v>
      </c>
      <c r="U200" s="83" t="str">
        <f t="shared" si="10"/>
        <v/>
      </c>
    </row>
    <row r="201" spans="1:21" s="101" customFormat="1" ht="15.95" customHeight="1" x14ac:dyDescent="0.2">
      <c r="A201" s="118" t="str">
        <f t="shared" si="11"/>
        <v xml:space="preserve"> </v>
      </c>
      <c r="B201" s="79"/>
      <c r="C201" s="80"/>
      <c r="D201" s="80"/>
      <c r="E201" s="8"/>
      <c r="F201" s="8"/>
      <c r="G201" s="15"/>
      <c r="H201" s="35"/>
      <c r="I201" s="8"/>
      <c r="J201" s="81"/>
      <c r="K201" s="82"/>
      <c r="L201" s="7"/>
      <c r="M201" s="7"/>
      <c r="N201" s="119"/>
      <c r="O201" s="117"/>
      <c r="P201" s="117"/>
      <c r="Q201" s="117"/>
      <c r="R201" s="117"/>
      <c r="S201" s="78">
        <f t="shared" si="8"/>
        <v>0</v>
      </c>
      <c r="T201" s="78" t="str">
        <f t="shared" si="9"/>
        <v>C</v>
      </c>
      <c r="U201" s="83" t="str">
        <f t="shared" si="10"/>
        <v/>
      </c>
    </row>
    <row r="202" spans="1:21" s="101" customFormat="1" ht="15.95" customHeight="1" x14ac:dyDescent="0.2">
      <c r="A202" s="118" t="str">
        <f t="shared" si="11"/>
        <v xml:space="preserve"> </v>
      </c>
      <c r="B202" s="79"/>
      <c r="C202" s="80"/>
      <c r="D202" s="80"/>
      <c r="E202" s="8"/>
      <c r="F202" s="8"/>
      <c r="G202" s="15"/>
      <c r="H202" s="35"/>
      <c r="I202" s="8"/>
      <c r="J202" s="81"/>
      <c r="K202" s="82"/>
      <c r="L202" s="7"/>
      <c r="M202" s="7"/>
      <c r="N202" s="119"/>
      <c r="O202" s="117"/>
      <c r="P202" s="117"/>
      <c r="Q202" s="117"/>
      <c r="R202" s="117"/>
      <c r="S202" s="78">
        <f t="shared" si="8"/>
        <v>0</v>
      </c>
      <c r="T202" s="78" t="str">
        <f t="shared" si="9"/>
        <v>C</v>
      </c>
      <c r="U202" s="83" t="str">
        <f t="shared" si="10"/>
        <v/>
      </c>
    </row>
    <row r="203" spans="1:21" s="101" customFormat="1" ht="15.95" customHeight="1" x14ac:dyDescent="0.2">
      <c r="A203" s="118" t="str">
        <f t="shared" si="11"/>
        <v xml:space="preserve"> </v>
      </c>
      <c r="B203" s="79"/>
      <c r="C203" s="80"/>
      <c r="D203" s="80"/>
      <c r="E203" s="8"/>
      <c r="F203" s="8"/>
      <c r="G203" s="15"/>
      <c r="H203" s="35"/>
      <c r="I203" s="8"/>
      <c r="J203" s="81"/>
      <c r="K203" s="82"/>
      <c r="L203" s="7"/>
      <c r="M203" s="7"/>
      <c r="N203" s="119"/>
      <c r="O203" s="117"/>
      <c r="P203" s="117"/>
      <c r="Q203" s="117"/>
      <c r="R203" s="117"/>
      <c r="S203" s="78">
        <f t="shared" si="8"/>
        <v>0</v>
      </c>
      <c r="T203" s="78" t="str">
        <f t="shared" si="9"/>
        <v>C</v>
      </c>
      <c r="U203" s="83" t="str">
        <f t="shared" si="10"/>
        <v/>
      </c>
    </row>
    <row r="204" spans="1:21" s="101" customFormat="1" ht="15.95" customHeight="1" x14ac:dyDescent="0.2">
      <c r="A204" s="118" t="str">
        <f t="shared" si="11"/>
        <v xml:space="preserve"> </v>
      </c>
      <c r="B204" s="79"/>
      <c r="C204" s="80"/>
      <c r="D204" s="80"/>
      <c r="E204" s="8"/>
      <c r="F204" s="8"/>
      <c r="G204" s="15"/>
      <c r="H204" s="35"/>
      <c r="I204" s="8"/>
      <c r="J204" s="81"/>
      <c r="K204" s="82"/>
      <c r="L204" s="7"/>
      <c r="M204" s="7"/>
      <c r="N204" s="119"/>
      <c r="O204" s="117"/>
      <c r="P204" s="117"/>
      <c r="Q204" s="117"/>
      <c r="R204" s="117"/>
      <c r="S204" s="78">
        <f t="shared" si="8"/>
        <v>0</v>
      </c>
      <c r="T204" s="78" t="str">
        <f t="shared" si="9"/>
        <v>C</v>
      </c>
      <c r="U204" s="83" t="str">
        <f t="shared" si="10"/>
        <v/>
      </c>
    </row>
    <row r="205" spans="1:21" s="101" customFormat="1" ht="15.95" customHeight="1" x14ac:dyDescent="0.2">
      <c r="A205" s="118" t="str">
        <f t="shared" si="11"/>
        <v xml:space="preserve"> </v>
      </c>
      <c r="B205" s="79"/>
      <c r="C205" s="80"/>
      <c r="D205" s="80"/>
      <c r="E205" s="8"/>
      <c r="F205" s="8"/>
      <c r="G205" s="15"/>
      <c r="H205" s="35"/>
      <c r="I205" s="8"/>
      <c r="J205" s="81"/>
      <c r="K205" s="82"/>
      <c r="L205" s="7"/>
      <c r="M205" s="7"/>
      <c r="N205" s="119"/>
      <c r="O205" s="117"/>
      <c r="P205" s="117"/>
      <c r="Q205" s="117"/>
      <c r="R205" s="117"/>
      <c r="S205" s="78">
        <f t="shared" si="8"/>
        <v>0</v>
      </c>
      <c r="T205" s="78" t="str">
        <f t="shared" si="9"/>
        <v>C</v>
      </c>
      <c r="U205" s="83" t="str">
        <f t="shared" si="10"/>
        <v/>
      </c>
    </row>
    <row r="206" spans="1:21" s="101" customFormat="1" ht="15.95" customHeight="1" x14ac:dyDescent="0.2">
      <c r="A206" s="118" t="str">
        <f t="shared" si="11"/>
        <v xml:space="preserve"> </v>
      </c>
      <c r="B206" s="79"/>
      <c r="C206" s="80"/>
      <c r="D206" s="80"/>
      <c r="E206" s="8"/>
      <c r="F206" s="8"/>
      <c r="G206" s="15"/>
      <c r="H206" s="35"/>
      <c r="I206" s="8"/>
      <c r="J206" s="81"/>
      <c r="K206" s="82"/>
      <c r="L206" s="7"/>
      <c r="M206" s="7"/>
      <c r="N206" s="119"/>
      <c r="O206" s="117"/>
      <c r="P206" s="117"/>
      <c r="Q206" s="117"/>
      <c r="R206" s="117"/>
      <c r="S206" s="78">
        <f t="shared" si="8"/>
        <v>0</v>
      </c>
      <c r="T206" s="78" t="str">
        <f t="shared" si="9"/>
        <v>C</v>
      </c>
      <c r="U206" s="83" t="str">
        <f t="shared" si="10"/>
        <v/>
      </c>
    </row>
    <row r="207" spans="1:21" s="101" customFormat="1" ht="15.95" customHeight="1" x14ac:dyDescent="0.2">
      <c r="A207" s="118" t="str">
        <f t="shared" si="11"/>
        <v xml:space="preserve"> </v>
      </c>
      <c r="B207" s="79"/>
      <c r="C207" s="80"/>
      <c r="D207" s="80"/>
      <c r="E207" s="8"/>
      <c r="F207" s="8"/>
      <c r="G207" s="15"/>
      <c r="H207" s="35"/>
      <c r="I207" s="8"/>
      <c r="J207" s="81"/>
      <c r="K207" s="82"/>
      <c r="L207" s="7"/>
      <c r="M207" s="7"/>
      <c r="N207" s="119"/>
      <c r="O207" s="117"/>
      <c r="P207" s="117"/>
      <c r="Q207" s="117"/>
      <c r="R207" s="117"/>
      <c r="S207" s="78">
        <f t="shared" si="8"/>
        <v>0</v>
      </c>
      <c r="T207" s="78" t="str">
        <f t="shared" si="9"/>
        <v>C</v>
      </c>
      <c r="U207" s="83" t="str">
        <f t="shared" si="10"/>
        <v/>
      </c>
    </row>
    <row r="208" spans="1:21" s="101" customFormat="1" ht="15.95" customHeight="1" x14ac:dyDescent="0.2">
      <c r="A208" s="118" t="str">
        <f t="shared" si="11"/>
        <v xml:space="preserve"> </v>
      </c>
      <c r="B208" s="79"/>
      <c r="C208" s="80"/>
      <c r="D208" s="80"/>
      <c r="E208" s="8"/>
      <c r="F208" s="8"/>
      <c r="G208" s="15"/>
      <c r="H208" s="35"/>
      <c r="I208" s="8"/>
      <c r="J208" s="81"/>
      <c r="K208" s="82"/>
      <c r="L208" s="7"/>
      <c r="M208" s="7"/>
      <c r="N208" s="119"/>
      <c r="O208" s="117"/>
      <c r="P208" s="117"/>
      <c r="Q208" s="117"/>
      <c r="R208" s="117"/>
      <c r="S208" s="78">
        <f t="shared" ref="S208:S271" si="12">ROUND(ABS(K208),2)*100</f>
        <v>0</v>
      </c>
      <c r="T208" s="78" t="str">
        <f t="shared" ref="T208:T271" si="13">IF(K208&gt;0,"D","C")</f>
        <v>C</v>
      </c>
      <c r="U208" s="83" t="str">
        <f t="shared" ref="U208:U271" si="14">B208&amp;C208&amp;D208&amp;E208&amp;F208&amp;G208&amp;H208&amp;I208&amp;J208&amp;K208&amp;L208&amp;N208</f>
        <v/>
      </c>
    </row>
    <row r="209" spans="1:21" s="101" customFormat="1" ht="15.95" customHeight="1" x14ac:dyDescent="0.2">
      <c r="A209" s="118" t="str">
        <f t="shared" ref="A209:A272" si="15">IF(U209=""," ",A208+1)</f>
        <v xml:space="preserve"> </v>
      </c>
      <c r="B209" s="79"/>
      <c r="C209" s="80"/>
      <c r="D209" s="80"/>
      <c r="E209" s="8"/>
      <c r="F209" s="8"/>
      <c r="G209" s="15"/>
      <c r="H209" s="35"/>
      <c r="I209" s="8"/>
      <c r="J209" s="81"/>
      <c r="K209" s="82"/>
      <c r="L209" s="7"/>
      <c r="M209" s="7"/>
      <c r="N209" s="119"/>
      <c r="O209" s="117"/>
      <c r="P209" s="117"/>
      <c r="Q209" s="117"/>
      <c r="R209" s="117"/>
      <c r="S209" s="78">
        <f t="shared" si="12"/>
        <v>0</v>
      </c>
      <c r="T209" s="78" t="str">
        <f t="shared" si="13"/>
        <v>C</v>
      </c>
      <c r="U209" s="83" t="str">
        <f t="shared" si="14"/>
        <v/>
      </c>
    </row>
    <row r="210" spans="1:21" s="101" customFormat="1" ht="15.95" customHeight="1" x14ac:dyDescent="0.2">
      <c r="A210" s="118" t="str">
        <f t="shared" si="15"/>
        <v xml:space="preserve"> </v>
      </c>
      <c r="B210" s="79"/>
      <c r="C210" s="80"/>
      <c r="D210" s="80"/>
      <c r="E210" s="8"/>
      <c r="F210" s="8"/>
      <c r="G210" s="15"/>
      <c r="H210" s="35"/>
      <c r="I210" s="8"/>
      <c r="J210" s="81"/>
      <c r="K210" s="82"/>
      <c r="L210" s="7"/>
      <c r="M210" s="7"/>
      <c r="N210" s="119"/>
      <c r="O210" s="117"/>
      <c r="P210" s="117"/>
      <c r="Q210" s="117"/>
      <c r="R210" s="117"/>
      <c r="S210" s="78">
        <f t="shared" si="12"/>
        <v>0</v>
      </c>
      <c r="T210" s="78" t="str">
        <f t="shared" si="13"/>
        <v>C</v>
      </c>
      <c r="U210" s="83" t="str">
        <f t="shared" si="14"/>
        <v/>
      </c>
    </row>
    <row r="211" spans="1:21" s="101" customFormat="1" ht="15.95" customHeight="1" x14ac:dyDescent="0.2">
      <c r="A211" s="118" t="str">
        <f t="shared" si="15"/>
        <v xml:space="preserve"> </v>
      </c>
      <c r="B211" s="79"/>
      <c r="C211" s="80"/>
      <c r="D211" s="80"/>
      <c r="E211" s="8"/>
      <c r="F211" s="8"/>
      <c r="G211" s="15"/>
      <c r="H211" s="35"/>
      <c r="I211" s="8"/>
      <c r="J211" s="81"/>
      <c r="K211" s="82"/>
      <c r="L211" s="7"/>
      <c r="M211" s="7"/>
      <c r="N211" s="119"/>
      <c r="O211" s="117"/>
      <c r="P211" s="117"/>
      <c r="Q211" s="117"/>
      <c r="R211" s="117"/>
      <c r="S211" s="78">
        <f t="shared" si="12"/>
        <v>0</v>
      </c>
      <c r="T211" s="78" t="str">
        <f t="shared" si="13"/>
        <v>C</v>
      </c>
      <c r="U211" s="83" t="str">
        <f t="shared" si="14"/>
        <v/>
      </c>
    </row>
    <row r="212" spans="1:21" s="101" customFormat="1" ht="15.95" customHeight="1" x14ac:dyDescent="0.2">
      <c r="A212" s="118" t="str">
        <f t="shared" si="15"/>
        <v xml:space="preserve"> </v>
      </c>
      <c r="B212" s="79"/>
      <c r="C212" s="80"/>
      <c r="D212" s="80"/>
      <c r="E212" s="8"/>
      <c r="F212" s="8"/>
      <c r="G212" s="15"/>
      <c r="H212" s="35"/>
      <c r="I212" s="8"/>
      <c r="J212" s="81"/>
      <c r="K212" s="82"/>
      <c r="L212" s="7"/>
      <c r="M212" s="7"/>
      <c r="N212" s="119"/>
      <c r="O212" s="117"/>
      <c r="P212" s="117"/>
      <c r="Q212" s="117"/>
      <c r="R212" s="117"/>
      <c r="S212" s="78">
        <f t="shared" si="12"/>
        <v>0</v>
      </c>
      <c r="T212" s="78" t="str">
        <f t="shared" si="13"/>
        <v>C</v>
      </c>
      <c r="U212" s="83" t="str">
        <f t="shared" si="14"/>
        <v/>
      </c>
    </row>
    <row r="213" spans="1:21" s="101" customFormat="1" ht="15.95" customHeight="1" x14ac:dyDescent="0.2">
      <c r="A213" s="118" t="str">
        <f t="shared" si="15"/>
        <v xml:space="preserve"> </v>
      </c>
      <c r="B213" s="79"/>
      <c r="C213" s="80"/>
      <c r="D213" s="80"/>
      <c r="E213" s="8"/>
      <c r="F213" s="8"/>
      <c r="G213" s="15"/>
      <c r="H213" s="35"/>
      <c r="I213" s="8"/>
      <c r="J213" s="81"/>
      <c r="K213" s="82"/>
      <c r="L213" s="7"/>
      <c r="M213" s="7"/>
      <c r="N213" s="119"/>
      <c r="O213" s="117"/>
      <c r="P213" s="117"/>
      <c r="Q213" s="117"/>
      <c r="R213" s="117"/>
      <c r="S213" s="78">
        <f t="shared" si="12"/>
        <v>0</v>
      </c>
      <c r="T213" s="78" t="str">
        <f t="shared" si="13"/>
        <v>C</v>
      </c>
      <c r="U213" s="83" t="str">
        <f t="shared" si="14"/>
        <v/>
      </c>
    </row>
    <row r="214" spans="1:21" s="101" customFormat="1" ht="15.95" customHeight="1" x14ac:dyDescent="0.2">
      <c r="A214" s="118" t="str">
        <f t="shared" si="15"/>
        <v xml:space="preserve"> </v>
      </c>
      <c r="B214" s="79"/>
      <c r="C214" s="80"/>
      <c r="D214" s="80"/>
      <c r="E214" s="8"/>
      <c r="F214" s="8"/>
      <c r="G214" s="15"/>
      <c r="H214" s="35"/>
      <c r="I214" s="8"/>
      <c r="J214" s="81"/>
      <c r="K214" s="82"/>
      <c r="L214" s="7"/>
      <c r="M214" s="7"/>
      <c r="N214" s="119"/>
      <c r="O214" s="117"/>
      <c r="P214" s="117"/>
      <c r="Q214" s="117"/>
      <c r="R214" s="117"/>
      <c r="S214" s="78">
        <f t="shared" si="12"/>
        <v>0</v>
      </c>
      <c r="T214" s="78" t="str">
        <f t="shared" si="13"/>
        <v>C</v>
      </c>
      <c r="U214" s="83" t="str">
        <f t="shared" si="14"/>
        <v/>
      </c>
    </row>
    <row r="215" spans="1:21" s="101" customFormat="1" ht="15.95" customHeight="1" x14ac:dyDescent="0.2">
      <c r="A215" s="118" t="str">
        <f t="shared" si="15"/>
        <v xml:space="preserve"> </v>
      </c>
      <c r="B215" s="79"/>
      <c r="C215" s="80"/>
      <c r="D215" s="80"/>
      <c r="E215" s="8"/>
      <c r="F215" s="8"/>
      <c r="G215" s="15"/>
      <c r="H215" s="35"/>
      <c r="I215" s="8"/>
      <c r="J215" s="81"/>
      <c r="K215" s="82"/>
      <c r="L215" s="7"/>
      <c r="M215" s="7"/>
      <c r="N215" s="119"/>
      <c r="O215" s="117"/>
      <c r="P215" s="117"/>
      <c r="Q215" s="117"/>
      <c r="R215" s="117"/>
      <c r="S215" s="78">
        <f t="shared" si="12"/>
        <v>0</v>
      </c>
      <c r="T215" s="78" t="str">
        <f t="shared" si="13"/>
        <v>C</v>
      </c>
      <c r="U215" s="83" t="str">
        <f t="shared" si="14"/>
        <v/>
      </c>
    </row>
    <row r="216" spans="1:21" s="101" customFormat="1" ht="15.95" customHeight="1" x14ac:dyDescent="0.2">
      <c r="A216" s="118" t="str">
        <f t="shared" si="15"/>
        <v xml:space="preserve"> </v>
      </c>
      <c r="B216" s="79"/>
      <c r="C216" s="80"/>
      <c r="D216" s="80"/>
      <c r="E216" s="8"/>
      <c r="F216" s="8"/>
      <c r="G216" s="15"/>
      <c r="H216" s="35"/>
      <c r="I216" s="8"/>
      <c r="J216" s="81"/>
      <c r="K216" s="82"/>
      <c r="L216" s="7"/>
      <c r="M216" s="7"/>
      <c r="N216" s="119"/>
      <c r="O216" s="117"/>
      <c r="P216" s="117"/>
      <c r="Q216" s="117"/>
      <c r="R216" s="117"/>
      <c r="S216" s="78">
        <f t="shared" si="12"/>
        <v>0</v>
      </c>
      <c r="T216" s="78" t="str">
        <f t="shared" si="13"/>
        <v>C</v>
      </c>
      <c r="U216" s="83" t="str">
        <f t="shared" si="14"/>
        <v/>
      </c>
    </row>
    <row r="217" spans="1:21" s="101" customFormat="1" ht="15.95" customHeight="1" x14ac:dyDescent="0.2">
      <c r="A217" s="118" t="str">
        <f t="shared" si="15"/>
        <v xml:space="preserve"> </v>
      </c>
      <c r="B217" s="79"/>
      <c r="C217" s="80"/>
      <c r="D217" s="80"/>
      <c r="E217" s="8"/>
      <c r="F217" s="8"/>
      <c r="G217" s="15"/>
      <c r="H217" s="35"/>
      <c r="I217" s="8"/>
      <c r="J217" s="81"/>
      <c r="K217" s="82"/>
      <c r="L217" s="7"/>
      <c r="M217" s="7"/>
      <c r="N217" s="119"/>
      <c r="O217" s="117"/>
      <c r="P217" s="117"/>
      <c r="Q217" s="117"/>
      <c r="R217" s="117"/>
      <c r="S217" s="78">
        <f t="shared" si="12"/>
        <v>0</v>
      </c>
      <c r="T217" s="78" t="str">
        <f t="shared" si="13"/>
        <v>C</v>
      </c>
      <c r="U217" s="83" t="str">
        <f t="shared" si="14"/>
        <v/>
      </c>
    </row>
    <row r="218" spans="1:21" s="101" customFormat="1" ht="15.95" customHeight="1" x14ac:dyDescent="0.2">
      <c r="A218" s="118" t="str">
        <f t="shared" si="15"/>
        <v xml:space="preserve"> </v>
      </c>
      <c r="B218" s="79"/>
      <c r="C218" s="80"/>
      <c r="D218" s="80"/>
      <c r="E218" s="8"/>
      <c r="F218" s="8"/>
      <c r="G218" s="15"/>
      <c r="H218" s="35"/>
      <c r="I218" s="8"/>
      <c r="J218" s="81"/>
      <c r="K218" s="82"/>
      <c r="L218" s="7"/>
      <c r="M218" s="7"/>
      <c r="N218" s="119"/>
      <c r="O218" s="117"/>
      <c r="P218" s="117"/>
      <c r="Q218" s="117"/>
      <c r="R218" s="117"/>
      <c r="S218" s="78">
        <f t="shared" si="12"/>
        <v>0</v>
      </c>
      <c r="T218" s="78" t="str">
        <f t="shared" si="13"/>
        <v>C</v>
      </c>
      <c r="U218" s="83" t="str">
        <f t="shared" si="14"/>
        <v/>
      </c>
    </row>
    <row r="219" spans="1:21" s="101" customFormat="1" ht="15.95" customHeight="1" x14ac:dyDescent="0.2">
      <c r="A219" s="118" t="str">
        <f t="shared" si="15"/>
        <v xml:space="preserve"> </v>
      </c>
      <c r="B219" s="79"/>
      <c r="C219" s="80"/>
      <c r="D219" s="80"/>
      <c r="E219" s="8"/>
      <c r="F219" s="8"/>
      <c r="G219" s="15"/>
      <c r="H219" s="35"/>
      <c r="I219" s="8"/>
      <c r="J219" s="81"/>
      <c r="K219" s="82"/>
      <c r="L219" s="7"/>
      <c r="M219" s="7"/>
      <c r="N219" s="119"/>
      <c r="O219" s="117"/>
      <c r="P219" s="117"/>
      <c r="Q219" s="117"/>
      <c r="R219" s="117"/>
      <c r="S219" s="78">
        <f t="shared" si="12"/>
        <v>0</v>
      </c>
      <c r="T219" s="78" t="str">
        <f t="shared" si="13"/>
        <v>C</v>
      </c>
      <c r="U219" s="83" t="str">
        <f t="shared" si="14"/>
        <v/>
      </c>
    </row>
    <row r="220" spans="1:21" s="101" customFormat="1" ht="15.95" customHeight="1" x14ac:dyDescent="0.2">
      <c r="A220" s="118" t="str">
        <f t="shared" si="15"/>
        <v xml:space="preserve"> </v>
      </c>
      <c r="B220" s="79"/>
      <c r="C220" s="80"/>
      <c r="D220" s="80"/>
      <c r="E220" s="8"/>
      <c r="F220" s="8"/>
      <c r="G220" s="15"/>
      <c r="H220" s="35"/>
      <c r="I220" s="8"/>
      <c r="J220" s="81"/>
      <c r="K220" s="82"/>
      <c r="L220" s="7"/>
      <c r="M220" s="7"/>
      <c r="N220" s="119"/>
      <c r="O220" s="117"/>
      <c r="P220" s="117"/>
      <c r="Q220" s="117"/>
      <c r="R220" s="117"/>
      <c r="S220" s="78">
        <f t="shared" si="12"/>
        <v>0</v>
      </c>
      <c r="T220" s="78" t="str">
        <f t="shared" si="13"/>
        <v>C</v>
      </c>
      <c r="U220" s="83" t="str">
        <f t="shared" si="14"/>
        <v/>
      </c>
    </row>
    <row r="221" spans="1:21" s="101" customFormat="1" ht="15.95" customHeight="1" x14ac:dyDescent="0.2">
      <c r="A221" s="118" t="str">
        <f t="shared" si="15"/>
        <v xml:space="preserve"> </v>
      </c>
      <c r="B221" s="79"/>
      <c r="C221" s="80"/>
      <c r="D221" s="80"/>
      <c r="E221" s="8"/>
      <c r="F221" s="8"/>
      <c r="G221" s="15"/>
      <c r="H221" s="35"/>
      <c r="I221" s="8"/>
      <c r="J221" s="81"/>
      <c r="K221" s="82"/>
      <c r="L221" s="7"/>
      <c r="M221" s="7"/>
      <c r="N221" s="119"/>
      <c r="O221" s="117"/>
      <c r="P221" s="117"/>
      <c r="Q221" s="117"/>
      <c r="R221" s="117"/>
      <c r="S221" s="78">
        <f t="shared" si="12"/>
        <v>0</v>
      </c>
      <c r="T221" s="78" t="str">
        <f t="shared" si="13"/>
        <v>C</v>
      </c>
      <c r="U221" s="83" t="str">
        <f t="shared" si="14"/>
        <v/>
      </c>
    </row>
    <row r="222" spans="1:21" s="101" customFormat="1" ht="15.95" customHeight="1" x14ac:dyDescent="0.2">
      <c r="A222" s="118" t="str">
        <f t="shared" si="15"/>
        <v xml:space="preserve"> </v>
      </c>
      <c r="B222" s="79"/>
      <c r="C222" s="80"/>
      <c r="D222" s="80"/>
      <c r="E222" s="8"/>
      <c r="F222" s="8"/>
      <c r="G222" s="15"/>
      <c r="H222" s="35"/>
      <c r="I222" s="8"/>
      <c r="J222" s="81"/>
      <c r="K222" s="82"/>
      <c r="L222" s="7"/>
      <c r="M222" s="7"/>
      <c r="N222" s="119"/>
      <c r="O222" s="117"/>
      <c r="P222" s="117"/>
      <c r="Q222" s="117"/>
      <c r="R222" s="117"/>
      <c r="S222" s="78">
        <f t="shared" si="12"/>
        <v>0</v>
      </c>
      <c r="T222" s="78" t="str">
        <f t="shared" si="13"/>
        <v>C</v>
      </c>
      <c r="U222" s="83" t="str">
        <f t="shared" si="14"/>
        <v/>
      </c>
    </row>
    <row r="223" spans="1:21" s="101" customFormat="1" ht="15.95" customHeight="1" x14ac:dyDescent="0.2">
      <c r="A223" s="118" t="str">
        <f t="shared" si="15"/>
        <v xml:space="preserve"> </v>
      </c>
      <c r="B223" s="79"/>
      <c r="C223" s="80"/>
      <c r="D223" s="80"/>
      <c r="E223" s="8"/>
      <c r="F223" s="8"/>
      <c r="G223" s="15"/>
      <c r="H223" s="35"/>
      <c r="I223" s="8"/>
      <c r="J223" s="81"/>
      <c r="K223" s="82"/>
      <c r="L223" s="7"/>
      <c r="M223" s="7"/>
      <c r="N223" s="119"/>
      <c r="O223" s="117"/>
      <c r="P223" s="117"/>
      <c r="Q223" s="117"/>
      <c r="R223" s="117"/>
      <c r="S223" s="78">
        <f t="shared" si="12"/>
        <v>0</v>
      </c>
      <c r="T223" s="78" t="str">
        <f t="shared" si="13"/>
        <v>C</v>
      </c>
      <c r="U223" s="83" t="str">
        <f t="shared" si="14"/>
        <v/>
      </c>
    </row>
    <row r="224" spans="1:21" s="101" customFormat="1" ht="15.95" customHeight="1" x14ac:dyDescent="0.2">
      <c r="A224" s="118" t="str">
        <f t="shared" si="15"/>
        <v xml:space="preserve"> </v>
      </c>
      <c r="B224" s="79"/>
      <c r="C224" s="80"/>
      <c r="D224" s="80"/>
      <c r="E224" s="8"/>
      <c r="F224" s="8"/>
      <c r="G224" s="15"/>
      <c r="H224" s="35"/>
      <c r="I224" s="8"/>
      <c r="J224" s="81"/>
      <c r="K224" s="82"/>
      <c r="L224" s="7"/>
      <c r="M224" s="7"/>
      <c r="N224" s="119"/>
      <c r="O224" s="117"/>
      <c r="P224" s="117"/>
      <c r="Q224" s="117"/>
      <c r="R224" s="117"/>
      <c r="S224" s="78">
        <f t="shared" si="12"/>
        <v>0</v>
      </c>
      <c r="T224" s="78" t="str">
        <f t="shared" si="13"/>
        <v>C</v>
      </c>
      <c r="U224" s="83" t="str">
        <f t="shared" si="14"/>
        <v/>
      </c>
    </row>
    <row r="225" spans="1:21" s="101" customFormat="1" ht="15.95" customHeight="1" x14ac:dyDescent="0.2">
      <c r="A225" s="118" t="str">
        <f t="shared" si="15"/>
        <v xml:space="preserve"> </v>
      </c>
      <c r="B225" s="79"/>
      <c r="C225" s="80"/>
      <c r="D225" s="80"/>
      <c r="E225" s="8"/>
      <c r="F225" s="8"/>
      <c r="G225" s="15"/>
      <c r="H225" s="35"/>
      <c r="I225" s="8"/>
      <c r="J225" s="81"/>
      <c r="K225" s="82"/>
      <c r="L225" s="7"/>
      <c r="M225" s="7"/>
      <c r="N225" s="119"/>
      <c r="O225" s="117"/>
      <c r="P225" s="117"/>
      <c r="Q225" s="117"/>
      <c r="R225" s="117"/>
      <c r="S225" s="78">
        <f t="shared" si="12"/>
        <v>0</v>
      </c>
      <c r="T225" s="78" t="str">
        <f t="shared" si="13"/>
        <v>C</v>
      </c>
      <c r="U225" s="83" t="str">
        <f t="shared" si="14"/>
        <v/>
      </c>
    </row>
    <row r="226" spans="1:21" s="101" customFormat="1" ht="15.95" customHeight="1" x14ac:dyDescent="0.2">
      <c r="A226" s="118" t="str">
        <f t="shared" si="15"/>
        <v xml:space="preserve"> </v>
      </c>
      <c r="B226" s="79"/>
      <c r="C226" s="80"/>
      <c r="D226" s="80"/>
      <c r="E226" s="8"/>
      <c r="F226" s="8"/>
      <c r="G226" s="15"/>
      <c r="H226" s="35"/>
      <c r="I226" s="8"/>
      <c r="J226" s="81"/>
      <c r="K226" s="82"/>
      <c r="L226" s="7"/>
      <c r="M226" s="7"/>
      <c r="N226" s="119"/>
      <c r="O226" s="117"/>
      <c r="P226" s="117"/>
      <c r="Q226" s="117"/>
      <c r="R226" s="117"/>
      <c r="S226" s="78">
        <f t="shared" si="12"/>
        <v>0</v>
      </c>
      <c r="T226" s="78" t="str">
        <f t="shared" si="13"/>
        <v>C</v>
      </c>
      <c r="U226" s="83" t="str">
        <f t="shared" si="14"/>
        <v/>
      </c>
    </row>
    <row r="227" spans="1:21" s="101" customFormat="1" ht="15.95" customHeight="1" x14ac:dyDescent="0.2">
      <c r="A227" s="118" t="str">
        <f t="shared" si="15"/>
        <v xml:space="preserve"> </v>
      </c>
      <c r="B227" s="79"/>
      <c r="C227" s="80"/>
      <c r="D227" s="80"/>
      <c r="E227" s="8"/>
      <c r="F227" s="8"/>
      <c r="G227" s="15"/>
      <c r="H227" s="35"/>
      <c r="I227" s="8"/>
      <c r="J227" s="81"/>
      <c r="K227" s="82"/>
      <c r="L227" s="7"/>
      <c r="M227" s="7"/>
      <c r="N227" s="119"/>
      <c r="O227" s="117"/>
      <c r="P227" s="117"/>
      <c r="Q227" s="117"/>
      <c r="R227" s="117"/>
      <c r="S227" s="78">
        <f t="shared" si="12"/>
        <v>0</v>
      </c>
      <c r="T227" s="78" t="str">
        <f t="shared" si="13"/>
        <v>C</v>
      </c>
      <c r="U227" s="83" t="str">
        <f t="shared" si="14"/>
        <v/>
      </c>
    </row>
    <row r="228" spans="1:21" s="101" customFormat="1" ht="15.95" customHeight="1" x14ac:dyDescent="0.2">
      <c r="A228" s="118" t="str">
        <f t="shared" si="15"/>
        <v xml:space="preserve"> </v>
      </c>
      <c r="B228" s="79"/>
      <c r="C228" s="80"/>
      <c r="D228" s="80"/>
      <c r="E228" s="8"/>
      <c r="F228" s="8"/>
      <c r="G228" s="15"/>
      <c r="H228" s="35"/>
      <c r="I228" s="8"/>
      <c r="J228" s="81"/>
      <c r="K228" s="82"/>
      <c r="L228" s="7"/>
      <c r="M228" s="7"/>
      <c r="N228" s="119"/>
      <c r="O228" s="117"/>
      <c r="P228" s="117"/>
      <c r="Q228" s="117"/>
      <c r="R228" s="117"/>
      <c r="S228" s="78">
        <f t="shared" si="12"/>
        <v>0</v>
      </c>
      <c r="T228" s="78" t="str">
        <f t="shared" si="13"/>
        <v>C</v>
      </c>
      <c r="U228" s="83" t="str">
        <f t="shared" si="14"/>
        <v/>
      </c>
    </row>
    <row r="229" spans="1:21" s="101" customFormat="1" ht="15.95" customHeight="1" x14ac:dyDescent="0.2">
      <c r="A229" s="118" t="str">
        <f t="shared" si="15"/>
        <v xml:space="preserve"> </v>
      </c>
      <c r="B229" s="79"/>
      <c r="C229" s="80"/>
      <c r="D229" s="80"/>
      <c r="E229" s="8"/>
      <c r="F229" s="8"/>
      <c r="G229" s="15"/>
      <c r="H229" s="35"/>
      <c r="I229" s="8"/>
      <c r="J229" s="81"/>
      <c r="K229" s="82"/>
      <c r="L229" s="7"/>
      <c r="M229" s="7"/>
      <c r="N229" s="119"/>
      <c r="O229" s="117"/>
      <c r="P229" s="117"/>
      <c r="Q229" s="117"/>
      <c r="R229" s="117"/>
      <c r="S229" s="78">
        <f t="shared" si="12"/>
        <v>0</v>
      </c>
      <c r="T229" s="78" t="str">
        <f t="shared" si="13"/>
        <v>C</v>
      </c>
      <c r="U229" s="83" t="str">
        <f t="shared" si="14"/>
        <v/>
      </c>
    </row>
    <row r="230" spans="1:21" s="101" customFormat="1" ht="15.95" customHeight="1" x14ac:dyDescent="0.2">
      <c r="A230" s="118" t="str">
        <f t="shared" si="15"/>
        <v xml:space="preserve"> </v>
      </c>
      <c r="B230" s="79"/>
      <c r="C230" s="80"/>
      <c r="D230" s="80"/>
      <c r="E230" s="8"/>
      <c r="F230" s="8"/>
      <c r="G230" s="15"/>
      <c r="H230" s="35"/>
      <c r="I230" s="8"/>
      <c r="J230" s="81"/>
      <c r="K230" s="82"/>
      <c r="L230" s="7"/>
      <c r="M230" s="7"/>
      <c r="N230" s="119"/>
      <c r="O230" s="117"/>
      <c r="P230" s="117"/>
      <c r="Q230" s="117"/>
      <c r="R230" s="117"/>
      <c r="S230" s="78">
        <f t="shared" si="12"/>
        <v>0</v>
      </c>
      <c r="T230" s="78" t="str">
        <f t="shared" si="13"/>
        <v>C</v>
      </c>
      <c r="U230" s="83" t="str">
        <f t="shared" si="14"/>
        <v/>
      </c>
    </row>
    <row r="231" spans="1:21" s="101" customFormat="1" ht="15.95" customHeight="1" x14ac:dyDescent="0.2">
      <c r="A231" s="118" t="str">
        <f t="shared" si="15"/>
        <v xml:space="preserve"> </v>
      </c>
      <c r="B231" s="79"/>
      <c r="C231" s="80"/>
      <c r="D231" s="80"/>
      <c r="E231" s="8"/>
      <c r="F231" s="8"/>
      <c r="G231" s="15"/>
      <c r="H231" s="35"/>
      <c r="I231" s="8"/>
      <c r="J231" s="81"/>
      <c r="K231" s="82"/>
      <c r="L231" s="7"/>
      <c r="M231" s="7"/>
      <c r="N231" s="119"/>
      <c r="O231" s="117"/>
      <c r="P231" s="117"/>
      <c r="Q231" s="117"/>
      <c r="R231" s="117"/>
      <c r="S231" s="78">
        <f t="shared" si="12"/>
        <v>0</v>
      </c>
      <c r="T231" s="78" t="str">
        <f t="shared" si="13"/>
        <v>C</v>
      </c>
      <c r="U231" s="83" t="str">
        <f t="shared" si="14"/>
        <v/>
      </c>
    </row>
    <row r="232" spans="1:21" s="101" customFormat="1" ht="15.95" customHeight="1" x14ac:dyDescent="0.2">
      <c r="A232" s="118" t="str">
        <f t="shared" si="15"/>
        <v xml:space="preserve"> </v>
      </c>
      <c r="B232" s="79"/>
      <c r="C232" s="80"/>
      <c r="D232" s="80"/>
      <c r="E232" s="8"/>
      <c r="F232" s="8"/>
      <c r="G232" s="15"/>
      <c r="H232" s="35"/>
      <c r="I232" s="8"/>
      <c r="J232" s="81"/>
      <c r="K232" s="82"/>
      <c r="L232" s="7"/>
      <c r="M232" s="7"/>
      <c r="N232" s="119"/>
      <c r="O232" s="117"/>
      <c r="P232" s="117"/>
      <c r="Q232" s="117"/>
      <c r="R232" s="117"/>
      <c r="S232" s="78">
        <f t="shared" si="12"/>
        <v>0</v>
      </c>
      <c r="T232" s="78" t="str">
        <f t="shared" si="13"/>
        <v>C</v>
      </c>
      <c r="U232" s="83" t="str">
        <f t="shared" si="14"/>
        <v/>
      </c>
    </row>
    <row r="233" spans="1:21" s="101" customFormat="1" ht="15.95" customHeight="1" x14ac:dyDescent="0.2">
      <c r="A233" s="118" t="str">
        <f t="shared" si="15"/>
        <v xml:space="preserve"> </v>
      </c>
      <c r="B233" s="79"/>
      <c r="C233" s="80"/>
      <c r="D233" s="80"/>
      <c r="E233" s="8"/>
      <c r="F233" s="8"/>
      <c r="G233" s="15"/>
      <c r="H233" s="35"/>
      <c r="I233" s="8"/>
      <c r="J233" s="81"/>
      <c r="K233" s="82"/>
      <c r="L233" s="7"/>
      <c r="M233" s="7"/>
      <c r="N233" s="119"/>
      <c r="O233" s="117"/>
      <c r="P233" s="117"/>
      <c r="Q233" s="117"/>
      <c r="R233" s="117"/>
      <c r="S233" s="78">
        <f t="shared" si="12"/>
        <v>0</v>
      </c>
      <c r="T233" s="78" t="str">
        <f t="shared" si="13"/>
        <v>C</v>
      </c>
      <c r="U233" s="83" t="str">
        <f t="shared" si="14"/>
        <v/>
      </c>
    </row>
    <row r="234" spans="1:21" s="101" customFormat="1" ht="15.95" customHeight="1" x14ac:dyDescent="0.2">
      <c r="A234" s="118" t="str">
        <f t="shared" si="15"/>
        <v xml:space="preserve"> </v>
      </c>
      <c r="B234" s="79"/>
      <c r="C234" s="80"/>
      <c r="D234" s="80"/>
      <c r="E234" s="8"/>
      <c r="F234" s="8"/>
      <c r="G234" s="15"/>
      <c r="H234" s="35"/>
      <c r="I234" s="8"/>
      <c r="J234" s="81"/>
      <c r="K234" s="82"/>
      <c r="L234" s="7"/>
      <c r="M234" s="7"/>
      <c r="N234" s="119"/>
      <c r="O234" s="117"/>
      <c r="P234" s="117"/>
      <c r="Q234" s="117"/>
      <c r="R234" s="117"/>
      <c r="S234" s="78">
        <f t="shared" si="12"/>
        <v>0</v>
      </c>
      <c r="T234" s="78" t="str">
        <f t="shared" si="13"/>
        <v>C</v>
      </c>
      <c r="U234" s="83" t="str">
        <f t="shared" si="14"/>
        <v/>
      </c>
    </row>
    <row r="235" spans="1:21" s="101" customFormat="1" ht="15.95" customHeight="1" x14ac:dyDescent="0.2">
      <c r="A235" s="118" t="str">
        <f t="shared" si="15"/>
        <v xml:space="preserve"> </v>
      </c>
      <c r="B235" s="79"/>
      <c r="C235" s="80"/>
      <c r="D235" s="80"/>
      <c r="E235" s="8"/>
      <c r="F235" s="8"/>
      <c r="G235" s="15"/>
      <c r="H235" s="35"/>
      <c r="I235" s="8"/>
      <c r="J235" s="81"/>
      <c r="K235" s="82"/>
      <c r="L235" s="7"/>
      <c r="M235" s="7"/>
      <c r="N235" s="119"/>
      <c r="O235" s="117"/>
      <c r="P235" s="117"/>
      <c r="Q235" s="117"/>
      <c r="R235" s="117"/>
      <c r="S235" s="78">
        <f t="shared" si="12"/>
        <v>0</v>
      </c>
      <c r="T235" s="78" t="str">
        <f t="shared" si="13"/>
        <v>C</v>
      </c>
      <c r="U235" s="83" t="str">
        <f t="shared" si="14"/>
        <v/>
      </c>
    </row>
    <row r="236" spans="1:21" s="101" customFormat="1" ht="15.95" customHeight="1" x14ac:dyDescent="0.2">
      <c r="A236" s="118" t="str">
        <f t="shared" si="15"/>
        <v xml:space="preserve"> </v>
      </c>
      <c r="B236" s="79"/>
      <c r="C236" s="80"/>
      <c r="D236" s="80"/>
      <c r="E236" s="8"/>
      <c r="F236" s="8"/>
      <c r="G236" s="15"/>
      <c r="H236" s="35"/>
      <c r="I236" s="8"/>
      <c r="J236" s="81"/>
      <c r="K236" s="82"/>
      <c r="L236" s="7"/>
      <c r="M236" s="7"/>
      <c r="N236" s="119"/>
      <c r="O236" s="117"/>
      <c r="P236" s="117"/>
      <c r="Q236" s="117"/>
      <c r="R236" s="117"/>
      <c r="S236" s="78">
        <f t="shared" si="12"/>
        <v>0</v>
      </c>
      <c r="T236" s="78" t="str">
        <f t="shared" si="13"/>
        <v>C</v>
      </c>
      <c r="U236" s="83" t="str">
        <f t="shared" si="14"/>
        <v/>
      </c>
    </row>
    <row r="237" spans="1:21" s="101" customFormat="1" ht="15.95" customHeight="1" x14ac:dyDescent="0.2">
      <c r="A237" s="118" t="str">
        <f t="shared" si="15"/>
        <v xml:space="preserve"> </v>
      </c>
      <c r="B237" s="79"/>
      <c r="C237" s="80"/>
      <c r="D237" s="80"/>
      <c r="E237" s="8"/>
      <c r="F237" s="8"/>
      <c r="G237" s="15"/>
      <c r="H237" s="35"/>
      <c r="I237" s="8"/>
      <c r="J237" s="81"/>
      <c r="K237" s="82"/>
      <c r="L237" s="7"/>
      <c r="M237" s="7"/>
      <c r="N237" s="119"/>
      <c r="O237" s="117"/>
      <c r="P237" s="117"/>
      <c r="Q237" s="117"/>
      <c r="R237" s="117"/>
      <c r="S237" s="78">
        <f t="shared" si="12"/>
        <v>0</v>
      </c>
      <c r="T237" s="78" t="str">
        <f t="shared" si="13"/>
        <v>C</v>
      </c>
      <c r="U237" s="83" t="str">
        <f t="shared" si="14"/>
        <v/>
      </c>
    </row>
    <row r="238" spans="1:21" s="101" customFormat="1" ht="15.95" customHeight="1" x14ac:dyDescent="0.2">
      <c r="A238" s="118" t="str">
        <f t="shared" si="15"/>
        <v xml:space="preserve"> </v>
      </c>
      <c r="B238" s="79"/>
      <c r="C238" s="80"/>
      <c r="D238" s="80"/>
      <c r="E238" s="8"/>
      <c r="F238" s="8"/>
      <c r="G238" s="15"/>
      <c r="H238" s="35"/>
      <c r="I238" s="8"/>
      <c r="J238" s="81"/>
      <c r="K238" s="82"/>
      <c r="L238" s="7"/>
      <c r="M238" s="7"/>
      <c r="N238" s="119"/>
      <c r="O238" s="117"/>
      <c r="P238" s="117"/>
      <c r="Q238" s="117"/>
      <c r="R238" s="117"/>
      <c r="S238" s="78">
        <f t="shared" si="12"/>
        <v>0</v>
      </c>
      <c r="T238" s="78" t="str">
        <f t="shared" si="13"/>
        <v>C</v>
      </c>
      <c r="U238" s="83" t="str">
        <f t="shared" si="14"/>
        <v/>
      </c>
    </row>
    <row r="239" spans="1:21" s="101" customFormat="1" ht="15.95" customHeight="1" x14ac:dyDescent="0.2">
      <c r="A239" s="118" t="str">
        <f t="shared" si="15"/>
        <v xml:space="preserve"> </v>
      </c>
      <c r="B239" s="79"/>
      <c r="C239" s="80"/>
      <c r="D239" s="80"/>
      <c r="E239" s="8"/>
      <c r="F239" s="8"/>
      <c r="G239" s="15"/>
      <c r="H239" s="35"/>
      <c r="I239" s="8"/>
      <c r="J239" s="81"/>
      <c r="K239" s="82"/>
      <c r="L239" s="7"/>
      <c r="M239" s="7"/>
      <c r="N239" s="119"/>
      <c r="O239" s="117"/>
      <c r="P239" s="117"/>
      <c r="Q239" s="117"/>
      <c r="R239" s="117"/>
      <c r="S239" s="78">
        <f t="shared" si="12"/>
        <v>0</v>
      </c>
      <c r="T239" s="78" t="str">
        <f t="shared" si="13"/>
        <v>C</v>
      </c>
      <c r="U239" s="83" t="str">
        <f t="shared" si="14"/>
        <v/>
      </c>
    </row>
    <row r="240" spans="1:21" s="101" customFormat="1" ht="15.95" customHeight="1" x14ac:dyDescent="0.2">
      <c r="A240" s="118" t="str">
        <f t="shared" si="15"/>
        <v xml:space="preserve"> </v>
      </c>
      <c r="B240" s="79"/>
      <c r="C240" s="80"/>
      <c r="D240" s="80"/>
      <c r="E240" s="8"/>
      <c r="F240" s="8"/>
      <c r="G240" s="15"/>
      <c r="H240" s="35"/>
      <c r="I240" s="8"/>
      <c r="J240" s="81"/>
      <c r="K240" s="82"/>
      <c r="L240" s="7"/>
      <c r="M240" s="7"/>
      <c r="N240" s="119"/>
      <c r="O240" s="117"/>
      <c r="P240" s="117"/>
      <c r="Q240" s="117"/>
      <c r="R240" s="117"/>
      <c r="S240" s="78">
        <f t="shared" si="12"/>
        <v>0</v>
      </c>
      <c r="T240" s="78" t="str">
        <f t="shared" si="13"/>
        <v>C</v>
      </c>
      <c r="U240" s="83" t="str">
        <f t="shared" si="14"/>
        <v/>
      </c>
    </row>
    <row r="241" spans="1:21" s="101" customFormat="1" ht="15.95" customHeight="1" x14ac:dyDescent="0.2">
      <c r="A241" s="118" t="str">
        <f t="shared" si="15"/>
        <v xml:space="preserve"> </v>
      </c>
      <c r="B241" s="79"/>
      <c r="C241" s="80"/>
      <c r="D241" s="80"/>
      <c r="E241" s="8"/>
      <c r="F241" s="8"/>
      <c r="G241" s="15"/>
      <c r="H241" s="35"/>
      <c r="I241" s="8"/>
      <c r="J241" s="81"/>
      <c r="K241" s="82"/>
      <c r="L241" s="7"/>
      <c r="M241" s="7"/>
      <c r="N241" s="119"/>
      <c r="O241" s="117"/>
      <c r="P241" s="117"/>
      <c r="Q241" s="117"/>
      <c r="R241" s="117"/>
      <c r="S241" s="78">
        <f t="shared" si="12"/>
        <v>0</v>
      </c>
      <c r="T241" s="78" t="str">
        <f t="shared" si="13"/>
        <v>C</v>
      </c>
      <c r="U241" s="83" t="str">
        <f t="shared" si="14"/>
        <v/>
      </c>
    </row>
    <row r="242" spans="1:21" s="101" customFormat="1" ht="15.95" customHeight="1" x14ac:dyDescent="0.2">
      <c r="A242" s="118" t="str">
        <f t="shared" si="15"/>
        <v xml:space="preserve"> </v>
      </c>
      <c r="B242" s="79"/>
      <c r="C242" s="80"/>
      <c r="D242" s="80"/>
      <c r="E242" s="8"/>
      <c r="F242" s="8"/>
      <c r="G242" s="15"/>
      <c r="H242" s="35"/>
      <c r="I242" s="8"/>
      <c r="J242" s="81"/>
      <c r="K242" s="82"/>
      <c r="L242" s="7"/>
      <c r="M242" s="7"/>
      <c r="N242" s="119"/>
      <c r="O242" s="117"/>
      <c r="P242" s="117"/>
      <c r="Q242" s="117"/>
      <c r="R242" s="117"/>
      <c r="S242" s="78">
        <f t="shared" si="12"/>
        <v>0</v>
      </c>
      <c r="T242" s="78" t="str">
        <f t="shared" si="13"/>
        <v>C</v>
      </c>
      <c r="U242" s="83" t="str">
        <f t="shared" si="14"/>
        <v/>
      </c>
    </row>
    <row r="243" spans="1:21" s="101" customFormat="1" ht="15.95" customHeight="1" x14ac:dyDescent="0.2">
      <c r="A243" s="118" t="str">
        <f t="shared" si="15"/>
        <v xml:space="preserve"> </v>
      </c>
      <c r="B243" s="79"/>
      <c r="C243" s="80"/>
      <c r="D243" s="80"/>
      <c r="E243" s="8"/>
      <c r="F243" s="8"/>
      <c r="G243" s="15"/>
      <c r="H243" s="35"/>
      <c r="I243" s="8"/>
      <c r="J243" s="81"/>
      <c r="K243" s="82"/>
      <c r="L243" s="7"/>
      <c r="M243" s="7"/>
      <c r="N243" s="119"/>
      <c r="O243" s="117"/>
      <c r="P243" s="117"/>
      <c r="Q243" s="117"/>
      <c r="R243" s="117"/>
      <c r="S243" s="78">
        <f t="shared" si="12"/>
        <v>0</v>
      </c>
      <c r="T243" s="78" t="str">
        <f t="shared" si="13"/>
        <v>C</v>
      </c>
      <c r="U243" s="83" t="str">
        <f t="shared" si="14"/>
        <v/>
      </c>
    </row>
    <row r="244" spans="1:21" s="101" customFormat="1" ht="15.95" customHeight="1" x14ac:dyDescent="0.2">
      <c r="A244" s="118" t="str">
        <f t="shared" si="15"/>
        <v xml:space="preserve"> </v>
      </c>
      <c r="B244" s="79"/>
      <c r="C244" s="80"/>
      <c r="D244" s="80"/>
      <c r="E244" s="8"/>
      <c r="F244" s="8"/>
      <c r="G244" s="15"/>
      <c r="H244" s="35"/>
      <c r="I244" s="8"/>
      <c r="J244" s="81"/>
      <c r="K244" s="82"/>
      <c r="L244" s="7"/>
      <c r="M244" s="7"/>
      <c r="N244" s="119"/>
      <c r="O244" s="117"/>
      <c r="P244" s="117"/>
      <c r="Q244" s="117"/>
      <c r="R244" s="117"/>
      <c r="S244" s="78">
        <f t="shared" si="12"/>
        <v>0</v>
      </c>
      <c r="T244" s="78" t="str">
        <f t="shared" si="13"/>
        <v>C</v>
      </c>
      <c r="U244" s="83" t="str">
        <f t="shared" si="14"/>
        <v/>
      </c>
    </row>
    <row r="245" spans="1:21" s="101" customFormat="1" ht="15.95" customHeight="1" x14ac:dyDescent="0.2">
      <c r="A245" s="118" t="str">
        <f t="shared" si="15"/>
        <v xml:space="preserve"> </v>
      </c>
      <c r="B245" s="79"/>
      <c r="C245" s="80"/>
      <c r="D245" s="80"/>
      <c r="E245" s="8"/>
      <c r="F245" s="8"/>
      <c r="G245" s="15"/>
      <c r="H245" s="35"/>
      <c r="I245" s="8"/>
      <c r="J245" s="81"/>
      <c r="K245" s="82"/>
      <c r="L245" s="7"/>
      <c r="M245" s="7"/>
      <c r="N245" s="119"/>
      <c r="O245" s="117"/>
      <c r="P245" s="117"/>
      <c r="Q245" s="117"/>
      <c r="R245" s="117"/>
      <c r="S245" s="78">
        <f t="shared" si="12"/>
        <v>0</v>
      </c>
      <c r="T245" s="78" t="str">
        <f t="shared" si="13"/>
        <v>C</v>
      </c>
      <c r="U245" s="83" t="str">
        <f t="shared" si="14"/>
        <v/>
      </c>
    </row>
    <row r="246" spans="1:21" s="101" customFormat="1" ht="15.95" customHeight="1" x14ac:dyDescent="0.2">
      <c r="A246" s="118" t="str">
        <f t="shared" si="15"/>
        <v xml:space="preserve"> </v>
      </c>
      <c r="B246" s="79"/>
      <c r="C246" s="80"/>
      <c r="D246" s="80"/>
      <c r="E246" s="8"/>
      <c r="F246" s="8"/>
      <c r="G246" s="15"/>
      <c r="H246" s="35"/>
      <c r="I246" s="8"/>
      <c r="J246" s="81"/>
      <c r="K246" s="82"/>
      <c r="L246" s="7"/>
      <c r="M246" s="7"/>
      <c r="N246" s="119"/>
      <c r="O246" s="117"/>
      <c r="P246" s="117"/>
      <c r="Q246" s="117"/>
      <c r="R246" s="117"/>
      <c r="S246" s="78">
        <f t="shared" si="12"/>
        <v>0</v>
      </c>
      <c r="T246" s="78" t="str">
        <f t="shared" si="13"/>
        <v>C</v>
      </c>
      <c r="U246" s="83" t="str">
        <f t="shared" si="14"/>
        <v/>
      </c>
    </row>
    <row r="247" spans="1:21" s="101" customFormat="1" ht="15.95" customHeight="1" x14ac:dyDescent="0.2">
      <c r="A247" s="118" t="str">
        <f t="shared" si="15"/>
        <v xml:space="preserve"> </v>
      </c>
      <c r="B247" s="79"/>
      <c r="C247" s="80"/>
      <c r="D247" s="80"/>
      <c r="E247" s="8"/>
      <c r="F247" s="8"/>
      <c r="G247" s="15"/>
      <c r="H247" s="35"/>
      <c r="I247" s="8"/>
      <c r="J247" s="81"/>
      <c r="K247" s="82"/>
      <c r="L247" s="7"/>
      <c r="M247" s="7"/>
      <c r="N247" s="119"/>
      <c r="O247" s="117"/>
      <c r="P247" s="117"/>
      <c r="Q247" s="117"/>
      <c r="R247" s="117"/>
      <c r="S247" s="78">
        <f t="shared" si="12"/>
        <v>0</v>
      </c>
      <c r="T247" s="78" t="str">
        <f t="shared" si="13"/>
        <v>C</v>
      </c>
      <c r="U247" s="83" t="str">
        <f t="shared" si="14"/>
        <v/>
      </c>
    </row>
    <row r="248" spans="1:21" s="101" customFormat="1" ht="15.95" customHeight="1" x14ac:dyDescent="0.2">
      <c r="A248" s="118" t="str">
        <f t="shared" si="15"/>
        <v xml:space="preserve"> </v>
      </c>
      <c r="B248" s="79"/>
      <c r="C248" s="80"/>
      <c r="D248" s="80"/>
      <c r="E248" s="8"/>
      <c r="F248" s="8"/>
      <c r="G248" s="15"/>
      <c r="H248" s="35"/>
      <c r="I248" s="8"/>
      <c r="J248" s="81"/>
      <c r="K248" s="82"/>
      <c r="L248" s="7"/>
      <c r="M248" s="7"/>
      <c r="N248" s="119"/>
      <c r="O248" s="117"/>
      <c r="P248" s="117"/>
      <c r="Q248" s="117"/>
      <c r="R248" s="117"/>
      <c r="S248" s="78">
        <f t="shared" si="12"/>
        <v>0</v>
      </c>
      <c r="T248" s="78" t="str">
        <f t="shared" si="13"/>
        <v>C</v>
      </c>
      <c r="U248" s="83" t="str">
        <f t="shared" si="14"/>
        <v/>
      </c>
    </row>
    <row r="249" spans="1:21" s="101" customFormat="1" ht="15.95" customHeight="1" x14ac:dyDescent="0.2">
      <c r="A249" s="118" t="str">
        <f t="shared" si="15"/>
        <v xml:space="preserve"> </v>
      </c>
      <c r="B249" s="79"/>
      <c r="C249" s="80"/>
      <c r="D249" s="80"/>
      <c r="E249" s="8"/>
      <c r="F249" s="8"/>
      <c r="G249" s="15"/>
      <c r="H249" s="35"/>
      <c r="I249" s="8"/>
      <c r="J249" s="81"/>
      <c r="K249" s="82"/>
      <c r="L249" s="7"/>
      <c r="M249" s="7"/>
      <c r="N249" s="119"/>
      <c r="O249" s="117"/>
      <c r="P249" s="117"/>
      <c r="Q249" s="117"/>
      <c r="R249" s="117"/>
      <c r="S249" s="78">
        <f t="shared" si="12"/>
        <v>0</v>
      </c>
      <c r="T249" s="78" t="str">
        <f t="shared" si="13"/>
        <v>C</v>
      </c>
      <c r="U249" s="83" t="str">
        <f t="shared" si="14"/>
        <v/>
      </c>
    </row>
    <row r="250" spans="1:21" s="101" customFormat="1" ht="15.95" customHeight="1" x14ac:dyDescent="0.2">
      <c r="A250" s="118" t="str">
        <f t="shared" si="15"/>
        <v xml:space="preserve"> </v>
      </c>
      <c r="B250" s="79"/>
      <c r="C250" s="80"/>
      <c r="D250" s="80"/>
      <c r="E250" s="8"/>
      <c r="F250" s="8"/>
      <c r="G250" s="15"/>
      <c r="H250" s="35"/>
      <c r="I250" s="8"/>
      <c r="J250" s="81"/>
      <c r="K250" s="82"/>
      <c r="L250" s="7"/>
      <c r="M250" s="7"/>
      <c r="N250" s="119"/>
      <c r="O250" s="117"/>
      <c r="P250" s="117"/>
      <c r="Q250" s="117"/>
      <c r="R250" s="117"/>
      <c r="S250" s="78">
        <f t="shared" si="12"/>
        <v>0</v>
      </c>
      <c r="T250" s="78" t="str">
        <f t="shared" si="13"/>
        <v>C</v>
      </c>
      <c r="U250" s="83" t="str">
        <f t="shared" si="14"/>
        <v/>
      </c>
    </row>
    <row r="251" spans="1:21" s="101" customFormat="1" ht="15.95" customHeight="1" x14ac:dyDescent="0.2">
      <c r="A251" s="118" t="str">
        <f t="shared" si="15"/>
        <v xml:space="preserve"> </v>
      </c>
      <c r="B251" s="79"/>
      <c r="C251" s="80"/>
      <c r="D251" s="80"/>
      <c r="E251" s="8"/>
      <c r="F251" s="8"/>
      <c r="G251" s="15"/>
      <c r="H251" s="35"/>
      <c r="I251" s="8"/>
      <c r="J251" s="81"/>
      <c r="K251" s="82"/>
      <c r="L251" s="7"/>
      <c r="M251" s="7"/>
      <c r="N251" s="119"/>
      <c r="O251" s="117"/>
      <c r="P251" s="117"/>
      <c r="Q251" s="117"/>
      <c r="R251" s="117"/>
      <c r="S251" s="78">
        <f t="shared" si="12"/>
        <v>0</v>
      </c>
      <c r="T251" s="78" t="str">
        <f t="shared" si="13"/>
        <v>C</v>
      </c>
      <c r="U251" s="83" t="str">
        <f t="shared" si="14"/>
        <v/>
      </c>
    </row>
    <row r="252" spans="1:21" s="101" customFormat="1" ht="15.95" customHeight="1" x14ac:dyDescent="0.2">
      <c r="A252" s="118" t="str">
        <f t="shared" si="15"/>
        <v xml:space="preserve"> </v>
      </c>
      <c r="B252" s="79"/>
      <c r="C252" s="80"/>
      <c r="D252" s="80"/>
      <c r="E252" s="8"/>
      <c r="F252" s="8"/>
      <c r="G252" s="15"/>
      <c r="H252" s="35"/>
      <c r="I252" s="8"/>
      <c r="J252" s="81"/>
      <c r="K252" s="82"/>
      <c r="L252" s="7"/>
      <c r="M252" s="7"/>
      <c r="N252" s="119"/>
      <c r="O252" s="117"/>
      <c r="P252" s="117"/>
      <c r="Q252" s="117"/>
      <c r="R252" s="117"/>
      <c r="S252" s="78">
        <f t="shared" si="12"/>
        <v>0</v>
      </c>
      <c r="T252" s="78" t="str">
        <f t="shared" si="13"/>
        <v>C</v>
      </c>
      <c r="U252" s="83" t="str">
        <f t="shared" si="14"/>
        <v/>
      </c>
    </row>
    <row r="253" spans="1:21" s="101" customFormat="1" ht="15.95" customHeight="1" x14ac:dyDescent="0.2">
      <c r="A253" s="118" t="str">
        <f t="shared" si="15"/>
        <v xml:space="preserve"> </v>
      </c>
      <c r="B253" s="79"/>
      <c r="C253" s="80"/>
      <c r="D253" s="80"/>
      <c r="E253" s="8"/>
      <c r="F253" s="8"/>
      <c r="G253" s="15"/>
      <c r="H253" s="35"/>
      <c r="I253" s="8"/>
      <c r="J253" s="81"/>
      <c r="K253" s="82"/>
      <c r="L253" s="7"/>
      <c r="M253" s="7"/>
      <c r="N253" s="119"/>
      <c r="O253" s="117"/>
      <c r="P253" s="117"/>
      <c r="Q253" s="117"/>
      <c r="R253" s="117"/>
      <c r="S253" s="78">
        <f t="shared" si="12"/>
        <v>0</v>
      </c>
      <c r="T253" s="78" t="str">
        <f t="shared" si="13"/>
        <v>C</v>
      </c>
      <c r="U253" s="83" t="str">
        <f t="shared" si="14"/>
        <v/>
      </c>
    </row>
    <row r="254" spans="1:21" s="101" customFormat="1" ht="15.95" customHeight="1" x14ac:dyDescent="0.2">
      <c r="A254" s="118" t="str">
        <f t="shared" si="15"/>
        <v xml:space="preserve"> </v>
      </c>
      <c r="B254" s="79"/>
      <c r="C254" s="80"/>
      <c r="D254" s="80"/>
      <c r="E254" s="8"/>
      <c r="F254" s="8"/>
      <c r="G254" s="15"/>
      <c r="H254" s="35"/>
      <c r="I254" s="8"/>
      <c r="J254" s="81"/>
      <c r="K254" s="82"/>
      <c r="L254" s="7"/>
      <c r="M254" s="7"/>
      <c r="N254" s="119"/>
      <c r="O254" s="117"/>
      <c r="P254" s="117"/>
      <c r="Q254" s="117"/>
      <c r="R254" s="117"/>
      <c r="S254" s="78">
        <f t="shared" si="12"/>
        <v>0</v>
      </c>
      <c r="T254" s="78" t="str">
        <f t="shared" si="13"/>
        <v>C</v>
      </c>
      <c r="U254" s="83" t="str">
        <f t="shared" si="14"/>
        <v/>
      </c>
    </row>
    <row r="255" spans="1:21" s="101" customFormat="1" ht="15.95" customHeight="1" x14ac:dyDescent="0.2">
      <c r="A255" s="118" t="str">
        <f t="shared" si="15"/>
        <v xml:space="preserve"> </v>
      </c>
      <c r="B255" s="79"/>
      <c r="C255" s="80"/>
      <c r="D255" s="80"/>
      <c r="E255" s="8"/>
      <c r="F255" s="8"/>
      <c r="G255" s="15"/>
      <c r="H255" s="35"/>
      <c r="I255" s="8"/>
      <c r="J255" s="81"/>
      <c r="K255" s="82"/>
      <c r="L255" s="7"/>
      <c r="M255" s="7"/>
      <c r="N255" s="119"/>
      <c r="O255" s="117"/>
      <c r="P255" s="117"/>
      <c r="Q255" s="117"/>
      <c r="R255" s="117"/>
      <c r="S255" s="78">
        <f t="shared" si="12"/>
        <v>0</v>
      </c>
      <c r="T255" s="78" t="str">
        <f t="shared" si="13"/>
        <v>C</v>
      </c>
      <c r="U255" s="83" t="str">
        <f t="shared" si="14"/>
        <v/>
      </c>
    </row>
    <row r="256" spans="1:21" s="101" customFormat="1" ht="15.95" customHeight="1" x14ac:dyDescent="0.2">
      <c r="A256" s="118" t="str">
        <f t="shared" si="15"/>
        <v xml:space="preserve"> </v>
      </c>
      <c r="B256" s="79"/>
      <c r="C256" s="80"/>
      <c r="D256" s="80"/>
      <c r="E256" s="8"/>
      <c r="F256" s="8"/>
      <c r="G256" s="15"/>
      <c r="H256" s="35"/>
      <c r="I256" s="8"/>
      <c r="J256" s="81"/>
      <c r="K256" s="82"/>
      <c r="L256" s="7"/>
      <c r="M256" s="7"/>
      <c r="N256" s="119"/>
      <c r="O256" s="117"/>
      <c r="P256" s="117"/>
      <c r="Q256" s="117"/>
      <c r="R256" s="117"/>
      <c r="S256" s="78">
        <f t="shared" si="12"/>
        <v>0</v>
      </c>
      <c r="T256" s="78" t="str">
        <f t="shared" si="13"/>
        <v>C</v>
      </c>
      <c r="U256" s="83" t="str">
        <f t="shared" si="14"/>
        <v/>
      </c>
    </row>
    <row r="257" spans="1:21" s="101" customFormat="1" ht="15.95" customHeight="1" x14ac:dyDescent="0.2">
      <c r="A257" s="118" t="str">
        <f t="shared" si="15"/>
        <v xml:space="preserve"> </v>
      </c>
      <c r="B257" s="79"/>
      <c r="C257" s="80"/>
      <c r="D257" s="80"/>
      <c r="E257" s="8"/>
      <c r="F257" s="8"/>
      <c r="G257" s="15"/>
      <c r="H257" s="35"/>
      <c r="I257" s="8"/>
      <c r="J257" s="81"/>
      <c r="K257" s="82"/>
      <c r="L257" s="7"/>
      <c r="M257" s="7"/>
      <c r="N257" s="119"/>
      <c r="O257" s="117"/>
      <c r="P257" s="117"/>
      <c r="Q257" s="117"/>
      <c r="R257" s="117"/>
      <c r="S257" s="78">
        <f t="shared" si="12"/>
        <v>0</v>
      </c>
      <c r="T257" s="78" t="str">
        <f t="shared" si="13"/>
        <v>C</v>
      </c>
      <c r="U257" s="83" t="str">
        <f t="shared" si="14"/>
        <v/>
      </c>
    </row>
    <row r="258" spans="1:21" s="101" customFormat="1" ht="15.95" customHeight="1" x14ac:dyDescent="0.2">
      <c r="A258" s="118" t="str">
        <f t="shared" si="15"/>
        <v xml:space="preserve"> </v>
      </c>
      <c r="B258" s="79"/>
      <c r="C258" s="80"/>
      <c r="D258" s="80"/>
      <c r="E258" s="8"/>
      <c r="F258" s="8"/>
      <c r="G258" s="15"/>
      <c r="H258" s="35"/>
      <c r="I258" s="8"/>
      <c r="J258" s="81"/>
      <c r="K258" s="82"/>
      <c r="L258" s="7"/>
      <c r="M258" s="7"/>
      <c r="N258" s="119"/>
      <c r="O258" s="117"/>
      <c r="P258" s="117"/>
      <c r="Q258" s="117"/>
      <c r="R258" s="117"/>
      <c r="S258" s="78">
        <f t="shared" si="12"/>
        <v>0</v>
      </c>
      <c r="T258" s="78" t="str">
        <f t="shared" si="13"/>
        <v>C</v>
      </c>
      <c r="U258" s="83" t="str">
        <f t="shared" si="14"/>
        <v/>
      </c>
    </row>
    <row r="259" spans="1:21" s="101" customFormat="1" ht="15.95" customHeight="1" x14ac:dyDescent="0.2">
      <c r="A259" s="118" t="str">
        <f t="shared" si="15"/>
        <v xml:space="preserve"> </v>
      </c>
      <c r="B259" s="79"/>
      <c r="C259" s="80"/>
      <c r="D259" s="80"/>
      <c r="E259" s="8"/>
      <c r="F259" s="8"/>
      <c r="G259" s="15"/>
      <c r="H259" s="35"/>
      <c r="I259" s="8"/>
      <c r="J259" s="81"/>
      <c r="K259" s="82"/>
      <c r="L259" s="7"/>
      <c r="M259" s="7"/>
      <c r="N259" s="119"/>
      <c r="O259" s="117"/>
      <c r="P259" s="117"/>
      <c r="Q259" s="117"/>
      <c r="R259" s="117"/>
      <c r="S259" s="78">
        <f t="shared" si="12"/>
        <v>0</v>
      </c>
      <c r="T259" s="78" t="str">
        <f t="shared" si="13"/>
        <v>C</v>
      </c>
      <c r="U259" s="83" t="str">
        <f t="shared" si="14"/>
        <v/>
      </c>
    </row>
    <row r="260" spans="1:21" s="101" customFormat="1" ht="15.95" customHeight="1" x14ac:dyDescent="0.2">
      <c r="A260" s="118" t="str">
        <f t="shared" si="15"/>
        <v xml:space="preserve"> </v>
      </c>
      <c r="B260" s="79"/>
      <c r="C260" s="80"/>
      <c r="D260" s="80"/>
      <c r="E260" s="8"/>
      <c r="F260" s="8"/>
      <c r="G260" s="15"/>
      <c r="H260" s="35"/>
      <c r="I260" s="8"/>
      <c r="J260" s="81"/>
      <c r="K260" s="82"/>
      <c r="L260" s="7"/>
      <c r="M260" s="7"/>
      <c r="N260" s="119"/>
      <c r="O260" s="117"/>
      <c r="P260" s="117"/>
      <c r="Q260" s="117"/>
      <c r="R260" s="117"/>
      <c r="S260" s="78">
        <f t="shared" si="12"/>
        <v>0</v>
      </c>
      <c r="T260" s="78" t="str">
        <f t="shared" si="13"/>
        <v>C</v>
      </c>
      <c r="U260" s="83" t="str">
        <f t="shared" si="14"/>
        <v/>
      </c>
    </row>
    <row r="261" spans="1:21" s="101" customFormat="1" ht="15.95" customHeight="1" x14ac:dyDescent="0.2">
      <c r="A261" s="118" t="str">
        <f t="shared" si="15"/>
        <v xml:space="preserve"> </v>
      </c>
      <c r="B261" s="79"/>
      <c r="C261" s="80"/>
      <c r="D261" s="80"/>
      <c r="E261" s="8"/>
      <c r="F261" s="8"/>
      <c r="G261" s="15"/>
      <c r="H261" s="35"/>
      <c r="I261" s="8"/>
      <c r="J261" s="81"/>
      <c r="K261" s="82"/>
      <c r="L261" s="7"/>
      <c r="M261" s="7"/>
      <c r="N261" s="119"/>
      <c r="O261" s="117"/>
      <c r="P261" s="117"/>
      <c r="Q261" s="117"/>
      <c r="R261" s="117"/>
      <c r="S261" s="78">
        <f t="shared" si="12"/>
        <v>0</v>
      </c>
      <c r="T261" s="78" t="str">
        <f t="shared" si="13"/>
        <v>C</v>
      </c>
      <c r="U261" s="83" t="str">
        <f t="shared" si="14"/>
        <v/>
      </c>
    </row>
    <row r="262" spans="1:21" s="101" customFormat="1" ht="15.95" customHeight="1" x14ac:dyDescent="0.2">
      <c r="A262" s="118" t="str">
        <f t="shared" si="15"/>
        <v xml:space="preserve"> </v>
      </c>
      <c r="B262" s="79"/>
      <c r="C262" s="80"/>
      <c r="D262" s="80"/>
      <c r="E262" s="8"/>
      <c r="F262" s="8"/>
      <c r="G262" s="15"/>
      <c r="H262" s="35"/>
      <c r="I262" s="8"/>
      <c r="J262" s="81"/>
      <c r="K262" s="82"/>
      <c r="L262" s="7"/>
      <c r="M262" s="7"/>
      <c r="N262" s="119"/>
      <c r="O262" s="117"/>
      <c r="P262" s="117"/>
      <c r="Q262" s="117"/>
      <c r="R262" s="117"/>
      <c r="S262" s="78">
        <f t="shared" si="12"/>
        <v>0</v>
      </c>
      <c r="T262" s="78" t="str">
        <f t="shared" si="13"/>
        <v>C</v>
      </c>
      <c r="U262" s="83" t="str">
        <f t="shared" si="14"/>
        <v/>
      </c>
    </row>
    <row r="263" spans="1:21" s="101" customFormat="1" ht="15.95" customHeight="1" x14ac:dyDescent="0.2">
      <c r="A263" s="118" t="str">
        <f t="shared" si="15"/>
        <v xml:space="preserve"> </v>
      </c>
      <c r="B263" s="79"/>
      <c r="C263" s="80"/>
      <c r="D263" s="80"/>
      <c r="E263" s="8"/>
      <c r="F263" s="8"/>
      <c r="G263" s="15"/>
      <c r="H263" s="35"/>
      <c r="I263" s="8"/>
      <c r="J263" s="81"/>
      <c r="K263" s="82"/>
      <c r="L263" s="7"/>
      <c r="M263" s="7"/>
      <c r="N263" s="119"/>
      <c r="O263" s="117"/>
      <c r="P263" s="117"/>
      <c r="Q263" s="117"/>
      <c r="R263" s="117"/>
      <c r="S263" s="78">
        <f t="shared" si="12"/>
        <v>0</v>
      </c>
      <c r="T263" s="78" t="str">
        <f t="shared" si="13"/>
        <v>C</v>
      </c>
      <c r="U263" s="83" t="str">
        <f t="shared" si="14"/>
        <v/>
      </c>
    </row>
    <row r="264" spans="1:21" s="101" customFormat="1" ht="15.95" customHeight="1" x14ac:dyDescent="0.2">
      <c r="A264" s="118" t="str">
        <f t="shared" si="15"/>
        <v xml:space="preserve"> </v>
      </c>
      <c r="B264" s="79"/>
      <c r="C264" s="80"/>
      <c r="D264" s="80"/>
      <c r="E264" s="8"/>
      <c r="F264" s="8"/>
      <c r="G264" s="15"/>
      <c r="H264" s="35"/>
      <c r="I264" s="8"/>
      <c r="J264" s="81"/>
      <c r="K264" s="82"/>
      <c r="L264" s="7"/>
      <c r="M264" s="7"/>
      <c r="N264" s="119"/>
      <c r="O264" s="117"/>
      <c r="P264" s="117"/>
      <c r="Q264" s="117"/>
      <c r="R264" s="117"/>
      <c r="S264" s="78">
        <f t="shared" si="12"/>
        <v>0</v>
      </c>
      <c r="T264" s="78" t="str">
        <f t="shared" si="13"/>
        <v>C</v>
      </c>
      <c r="U264" s="83" t="str">
        <f t="shared" si="14"/>
        <v/>
      </c>
    </row>
    <row r="265" spans="1:21" s="101" customFormat="1" ht="15.95" customHeight="1" x14ac:dyDescent="0.2">
      <c r="A265" s="118" t="str">
        <f t="shared" si="15"/>
        <v xml:space="preserve"> </v>
      </c>
      <c r="B265" s="79"/>
      <c r="C265" s="80"/>
      <c r="D265" s="80"/>
      <c r="E265" s="8"/>
      <c r="F265" s="8"/>
      <c r="G265" s="15"/>
      <c r="H265" s="35"/>
      <c r="I265" s="8"/>
      <c r="J265" s="81"/>
      <c r="K265" s="82"/>
      <c r="L265" s="7"/>
      <c r="M265" s="7"/>
      <c r="N265" s="119"/>
      <c r="O265" s="117"/>
      <c r="P265" s="117"/>
      <c r="Q265" s="117"/>
      <c r="R265" s="117"/>
      <c r="S265" s="78">
        <f t="shared" si="12"/>
        <v>0</v>
      </c>
      <c r="T265" s="78" t="str">
        <f t="shared" si="13"/>
        <v>C</v>
      </c>
      <c r="U265" s="83" t="str">
        <f t="shared" si="14"/>
        <v/>
      </c>
    </row>
    <row r="266" spans="1:21" s="101" customFormat="1" ht="15.95" customHeight="1" x14ac:dyDescent="0.2">
      <c r="A266" s="118" t="str">
        <f t="shared" si="15"/>
        <v xml:space="preserve"> </v>
      </c>
      <c r="B266" s="79"/>
      <c r="C266" s="80"/>
      <c r="D266" s="80"/>
      <c r="E266" s="8"/>
      <c r="F266" s="8"/>
      <c r="G266" s="15"/>
      <c r="H266" s="35"/>
      <c r="I266" s="8"/>
      <c r="J266" s="81"/>
      <c r="K266" s="82"/>
      <c r="L266" s="7"/>
      <c r="M266" s="7"/>
      <c r="N266" s="119"/>
      <c r="O266" s="117"/>
      <c r="P266" s="117"/>
      <c r="Q266" s="117"/>
      <c r="R266" s="117"/>
      <c r="S266" s="78">
        <f t="shared" si="12"/>
        <v>0</v>
      </c>
      <c r="T266" s="78" t="str">
        <f t="shared" si="13"/>
        <v>C</v>
      </c>
      <c r="U266" s="83" t="str">
        <f t="shared" si="14"/>
        <v/>
      </c>
    </row>
    <row r="267" spans="1:21" s="101" customFormat="1" ht="15.95" customHeight="1" x14ac:dyDescent="0.2">
      <c r="A267" s="118" t="str">
        <f t="shared" si="15"/>
        <v xml:space="preserve"> </v>
      </c>
      <c r="B267" s="79"/>
      <c r="C267" s="80"/>
      <c r="D267" s="80"/>
      <c r="E267" s="8"/>
      <c r="F267" s="8"/>
      <c r="G267" s="15"/>
      <c r="H267" s="35"/>
      <c r="I267" s="8"/>
      <c r="J267" s="81"/>
      <c r="K267" s="82"/>
      <c r="L267" s="7"/>
      <c r="M267" s="7"/>
      <c r="N267" s="119"/>
      <c r="O267" s="117"/>
      <c r="P267" s="117"/>
      <c r="Q267" s="117"/>
      <c r="R267" s="117"/>
      <c r="S267" s="78">
        <f t="shared" si="12"/>
        <v>0</v>
      </c>
      <c r="T267" s="78" t="str">
        <f t="shared" si="13"/>
        <v>C</v>
      </c>
      <c r="U267" s="83" t="str">
        <f t="shared" si="14"/>
        <v/>
      </c>
    </row>
    <row r="268" spans="1:21" s="101" customFormat="1" ht="15.95" customHeight="1" x14ac:dyDescent="0.2">
      <c r="A268" s="118" t="str">
        <f t="shared" si="15"/>
        <v xml:space="preserve"> </v>
      </c>
      <c r="B268" s="79"/>
      <c r="C268" s="80"/>
      <c r="D268" s="80"/>
      <c r="E268" s="8"/>
      <c r="F268" s="8"/>
      <c r="G268" s="15"/>
      <c r="H268" s="35"/>
      <c r="I268" s="8"/>
      <c r="J268" s="81"/>
      <c r="K268" s="82"/>
      <c r="L268" s="7"/>
      <c r="M268" s="7"/>
      <c r="N268" s="119"/>
      <c r="O268" s="117"/>
      <c r="P268" s="117"/>
      <c r="Q268" s="117"/>
      <c r="R268" s="117"/>
      <c r="S268" s="78">
        <f t="shared" si="12"/>
        <v>0</v>
      </c>
      <c r="T268" s="78" t="str">
        <f t="shared" si="13"/>
        <v>C</v>
      </c>
      <c r="U268" s="83" t="str">
        <f t="shared" si="14"/>
        <v/>
      </c>
    </row>
    <row r="269" spans="1:21" s="101" customFormat="1" ht="15.95" customHeight="1" x14ac:dyDescent="0.2">
      <c r="A269" s="118" t="str">
        <f t="shared" si="15"/>
        <v xml:space="preserve"> </v>
      </c>
      <c r="B269" s="79"/>
      <c r="C269" s="80"/>
      <c r="D269" s="80"/>
      <c r="E269" s="8"/>
      <c r="F269" s="8"/>
      <c r="G269" s="15"/>
      <c r="H269" s="35"/>
      <c r="I269" s="8"/>
      <c r="J269" s="81"/>
      <c r="K269" s="82"/>
      <c r="L269" s="7"/>
      <c r="M269" s="7"/>
      <c r="N269" s="119"/>
      <c r="O269" s="117"/>
      <c r="P269" s="117"/>
      <c r="Q269" s="117"/>
      <c r="R269" s="117"/>
      <c r="S269" s="78">
        <f t="shared" si="12"/>
        <v>0</v>
      </c>
      <c r="T269" s="78" t="str">
        <f t="shared" si="13"/>
        <v>C</v>
      </c>
      <c r="U269" s="83" t="str">
        <f t="shared" si="14"/>
        <v/>
      </c>
    </row>
    <row r="270" spans="1:21" s="101" customFormat="1" ht="15.95" customHeight="1" x14ac:dyDescent="0.2">
      <c r="A270" s="118" t="str">
        <f t="shared" si="15"/>
        <v xml:space="preserve"> </v>
      </c>
      <c r="B270" s="79"/>
      <c r="C270" s="80"/>
      <c r="D270" s="80"/>
      <c r="E270" s="8"/>
      <c r="F270" s="8"/>
      <c r="G270" s="15"/>
      <c r="H270" s="35"/>
      <c r="I270" s="8"/>
      <c r="J270" s="81"/>
      <c r="K270" s="82"/>
      <c r="L270" s="7"/>
      <c r="M270" s="7"/>
      <c r="N270" s="119"/>
      <c r="O270" s="117"/>
      <c r="P270" s="117"/>
      <c r="Q270" s="117"/>
      <c r="R270" s="117"/>
      <c r="S270" s="78">
        <f t="shared" si="12"/>
        <v>0</v>
      </c>
      <c r="T270" s="78" t="str">
        <f t="shared" si="13"/>
        <v>C</v>
      </c>
      <c r="U270" s="83" t="str">
        <f t="shared" si="14"/>
        <v/>
      </c>
    </row>
    <row r="271" spans="1:21" s="101" customFormat="1" ht="15.95" customHeight="1" x14ac:dyDescent="0.2">
      <c r="A271" s="118" t="str">
        <f t="shared" si="15"/>
        <v xml:space="preserve"> </v>
      </c>
      <c r="B271" s="79"/>
      <c r="C271" s="80"/>
      <c r="D271" s="80"/>
      <c r="E271" s="8"/>
      <c r="F271" s="8"/>
      <c r="G271" s="15"/>
      <c r="H271" s="35"/>
      <c r="I271" s="8"/>
      <c r="J271" s="81"/>
      <c r="K271" s="82"/>
      <c r="L271" s="7"/>
      <c r="M271" s="7"/>
      <c r="N271" s="119"/>
      <c r="O271" s="117"/>
      <c r="P271" s="117"/>
      <c r="Q271" s="117"/>
      <c r="R271" s="117"/>
      <c r="S271" s="78">
        <f t="shared" si="12"/>
        <v>0</v>
      </c>
      <c r="T271" s="78" t="str">
        <f t="shared" si="13"/>
        <v>C</v>
      </c>
      <c r="U271" s="83" t="str">
        <f t="shared" si="14"/>
        <v/>
      </c>
    </row>
    <row r="272" spans="1:21" s="101" customFormat="1" ht="15.95" customHeight="1" x14ac:dyDescent="0.2">
      <c r="A272" s="118" t="str">
        <f t="shared" si="15"/>
        <v xml:space="preserve"> </v>
      </c>
      <c r="B272" s="79"/>
      <c r="C272" s="80"/>
      <c r="D272" s="80"/>
      <c r="E272" s="8"/>
      <c r="F272" s="8"/>
      <c r="G272" s="15"/>
      <c r="H272" s="35"/>
      <c r="I272" s="8"/>
      <c r="J272" s="81"/>
      <c r="K272" s="82"/>
      <c r="L272" s="7"/>
      <c r="M272" s="7"/>
      <c r="N272" s="119"/>
      <c r="O272" s="117"/>
      <c r="P272" s="117"/>
      <c r="Q272" s="117"/>
      <c r="R272" s="117"/>
      <c r="S272" s="78">
        <f t="shared" ref="S272:S335" si="16">ROUND(ABS(K272),2)*100</f>
        <v>0</v>
      </c>
      <c r="T272" s="78" t="str">
        <f t="shared" ref="T272:T335" si="17">IF(K272&gt;0,"D","C")</f>
        <v>C</v>
      </c>
      <c r="U272" s="83" t="str">
        <f t="shared" ref="U272:U335" si="18">B272&amp;C272&amp;D272&amp;E272&amp;F272&amp;G272&amp;H272&amp;I272&amp;J272&amp;K272&amp;L272&amp;N272</f>
        <v/>
      </c>
    </row>
    <row r="273" spans="1:21" s="101" customFormat="1" ht="15.95" customHeight="1" x14ac:dyDescent="0.2">
      <c r="A273" s="118" t="str">
        <f t="shared" ref="A273:A336" si="19">IF(U273=""," ",A272+1)</f>
        <v xml:space="preserve"> </v>
      </c>
      <c r="B273" s="79"/>
      <c r="C273" s="80"/>
      <c r="D273" s="80"/>
      <c r="E273" s="8"/>
      <c r="F273" s="8"/>
      <c r="G273" s="15"/>
      <c r="H273" s="35"/>
      <c r="I273" s="8"/>
      <c r="J273" s="81"/>
      <c r="K273" s="82"/>
      <c r="L273" s="7"/>
      <c r="M273" s="7"/>
      <c r="N273" s="119"/>
      <c r="O273" s="117"/>
      <c r="P273" s="117"/>
      <c r="Q273" s="117"/>
      <c r="R273" s="117"/>
      <c r="S273" s="78">
        <f t="shared" si="16"/>
        <v>0</v>
      </c>
      <c r="T273" s="78" t="str">
        <f t="shared" si="17"/>
        <v>C</v>
      </c>
      <c r="U273" s="83" t="str">
        <f t="shared" si="18"/>
        <v/>
      </c>
    </row>
    <row r="274" spans="1:21" s="101" customFormat="1" ht="15.95" customHeight="1" x14ac:dyDescent="0.2">
      <c r="A274" s="118" t="str">
        <f t="shared" si="19"/>
        <v xml:space="preserve"> </v>
      </c>
      <c r="B274" s="79"/>
      <c r="C274" s="80"/>
      <c r="D274" s="80"/>
      <c r="E274" s="8"/>
      <c r="F274" s="8"/>
      <c r="G274" s="15"/>
      <c r="H274" s="35"/>
      <c r="I274" s="8"/>
      <c r="J274" s="81"/>
      <c r="K274" s="82"/>
      <c r="L274" s="7"/>
      <c r="M274" s="7"/>
      <c r="N274" s="119"/>
      <c r="O274" s="117"/>
      <c r="P274" s="117"/>
      <c r="Q274" s="117"/>
      <c r="R274" s="117"/>
      <c r="S274" s="78">
        <f t="shared" si="16"/>
        <v>0</v>
      </c>
      <c r="T274" s="78" t="str">
        <f t="shared" si="17"/>
        <v>C</v>
      </c>
      <c r="U274" s="83" t="str">
        <f t="shared" si="18"/>
        <v/>
      </c>
    </row>
    <row r="275" spans="1:21" s="101" customFormat="1" ht="15.95" customHeight="1" x14ac:dyDescent="0.2">
      <c r="A275" s="118" t="str">
        <f t="shared" si="19"/>
        <v xml:space="preserve"> </v>
      </c>
      <c r="B275" s="79"/>
      <c r="C275" s="80"/>
      <c r="D275" s="80"/>
      <c r="E275" s="8"/>
      <c r="F275" s="8"/>
      <c r="G275" s="15"/>
      <c r="H275" s="35"/>
      <c r="I275" s="8"/>
      <c r="J275" s="81"/>
      <c r="K275" s="82"/>
      <c r="L275" s="7"/>
      <c r="M275" s="7"/>
      <c r="N275" s="119"/>
      <c r="O275" s="117"/>
      <c r="P275" s="117"/>
      <c r="Q275" s="117"/>
      <c r="R275" s="117"/>
      <c r="S275" s="78">
        <f t="shared" si="16"/>
        <v>0</v>
      </c>
      <c r="T275" s="78" t="str">
        <f t="shared" si="17"/>
        <v>C</v>
      </c>
      <c r="U275" s="83" t="str">
        <f t="shared" si="18"/>
        <v/>
      </c>
    </row>
    <row r="276" spans="1:21" s="101" customFormat="1" ht="15.95" customHeight="1" x14ac:dyDescent="0.2">
      <c r="A276" s="118" t="str">
        <f t="shared" si="19"/>
        <v xml:space="preserve"> </v>
      </c>
      <c r="B276" s="79"/>
      <c r="C276" s="80"/>
      <c r="D276" s="80"/>
      <c r="E276" s="8"/>
      <c r="F276" s="8"/>
      <c r="G276" s="15"/>
      <c r="H276" s="35"/>
      <c r="I276" s="8"/>
      <c r="J276" s="81"/>
      <c r="K276" s="82"/>
      <c r="L276" s="7"/>
      <c r="M276" s="7"/>
      <c r="N276" s="119"/>
      <c r="O276" s="117"/>
      <c r="P276" s="117"/>
      <c r="Q276" s="117"/>
      <c r="R276" s="117"/>
      <c r="S276" s="78">
        <f t="shared" si="16"/>
        <v>0</v>
      </c>
      <c r="T276" s="78" t="str">
        <f t="shared" si="17"/>
        <v>C</v>
      </c>
      <c r="U276" s="83" t="str">
        <f t="shared" si="18"/>
        <v/>
      </c>
    </row>
    <row r="277" spans="1:21" s="101" customFormat="1" ht="15.95" customHeight="1" x14ac:dyDescent="0.2">
      <c r="A277" s="118" t="str">
        <f t="shared" si="19"/>
        <v xml:space="preserve"> </v>
      </c>
      <c r="B277" s="79"/>
      <c r="C277" s="80"/>
      <c r="D277" s="80"/>
      <c r="E277" s="8"/>
      <c r="F277" s="8"/>
      <c r="G277" s="15"/>
      <c r="H277" s="35"/>
      <c r="I277" s="8"/>
      <c r="J277" s="81"/>
      <c r="K277" s="82"/>
      <c r="L277" s="7"/>
      <c r="M277" s="7"/>
      <c r="N277" s="119"/>
      <c r="O277" s="117"/>
      <c r="P277" s="117"/>
      <c r="Q277" s="117"/>
      <c r="R277" s="117"/>
      <c r="S277" s="78">
        <f t="shared" si="16"/>
        <v>0</v>
      </c>
      <c r="T277" s="78" t="str">
        <f t="shared" si="17"/>
        <v>C</v>
      </c>
      <c r="U277" s="83" t="str">
        <f t="shared" si="18"/>
        <v/>
      </c>
    </row>
    <row r="278" spans="1:21" s="101" customFormat="1" ht="15.95" customHeight="1" x14ac:dyDescent="0.2">
      <c r="A278" s="118" t="str">
        <f t="shared" si="19"/>
        <v xml:space="preserve"> </v>
      </c>
      <c r="B278" s="79"/>
      <c r="C278" s="80"/>
      <c r="D278" s="80"/>
      <c r="E278" s="8"/>
      <c r="F278" s="8"/>
      <c r="G278" s="15"/>
      <c r="H278" s="35"/>
      <c r="I278" s="8"/>
      <c r="J278" s="81"/>
      <c r="K278" s="82"/>
      <c r="L278" s="7"/>
      <c r="M278" s="7"/>
      <c r="N278" s="119"/>
      <c r="O278" s="117"/>
      <c r="P278" s="117"/>
      <c r="Q278" s="117"/>
      <c r="R278" s="117"/>
      <c r="S278" s="78">
        <f t="shared" si="16"/>
        <v>0</v>
      </c>
      <c r="T278" s="78" t="str">
        <f t="shared" si="17"/>
        <v>C</v>
      </c>
      <c r="U278" s="83" t="str">
        <f t="shared" si="18"/>
        <v/>
      </c>
    </row>
    <row r="279" spans="1:21" s="101" customFormat="1" ht="15.95" customHeight="1" x14ac:dyDescent="0.2">
      <c r="A279" s="118" t="str">
        <f t="shared" si="19"/>
        <v xml:space="preserve"> </v>
      </c>
      <c r="B279" s="79"/>
      <c r="C279" s="80"/>
      <c r="D279" s="80"/>
      <c r="E279" s="8"/>
      <c r="F279" s="8"/>
      <c r="G279" s="15"/>
      <c r="H279" s="35"/>
      <c r="I279" s="8"/>
      <c r="J279" s="81"/>
      <c r="K279" s="82"/>
      <c r="L279" s="7"/>
      <c r="M279" s="7"/>
      <c r="N279" s="119"/>
      <c r="O279" s="117"/>
      <c r="P279" s="117"/>
      <c r="Q279" s="117"/>
      <c r="R279" s="117"/>
      <c r="S279" s="78">
        <f t="shared" si="16"/>
        <v>0</v>
      </c>
      <c r="T279" s="78" t="str">
        <f t="shared" si="17"/>
        <v>C</v>
      </c>
      <c r="U279" s="83" t="str">
        <f t="shared" si="18"/>
        <v/>
      </c>
    </row>
    <row r="280" spans="1:21" s="101" customFormat="1" ht="15.95" customHeight="1" x14ac:dyDescent="0.2">
      <c r="A280" s="118" t="str">
        <f t="shared" si="19"/>
        <v xml:space="preserve"> </v>
      </c>
      <c r="B280" s="79"/>
      <c r="C280" s="80"/>
      <c r="D280" s="80"/>
      <c r="E280" s="8"/>
      <c r="F280" s="8"/>
      <c r="G280" s="15"/>
      <c r="H280" s="35"/>
      <c r="I280" s="8"/>
      <c r="J280" s="81"/>
      <c r="K280" s="82"/>
      <c r="L280" s="7"/>
      <c r="M280" s="7"/>
      <c r="N280" s="119"/>
      <c r="O280" s="117"/>
      <c r="P280" s="117"/>
      <c r="Q280" s="117"/>
      <c r="R280" s="117"/>
      <c r="S280" s="78">
        <f t="shared" si="16"/>
        <v>0</v>
      </c>
      <c r="T280" s="78" t="str">
        <f t="shared" si="17"/>
        <v>C</v>
      </c>
      <c r="U280" s="83" t="str">
        <f t="shared" si="18"/>
        <v/>
      </c>
    </row>
    <row r="281" spans="1:21" s="101" customFormat="1" ht="15.95" customHeight="1" x14ac:dyDescent="0.2">
      <c r="A281" s="118" t="str">
        <f t="shared" si="19"/>
        <v xml:space="preserve"> </v>
      </c>
      <c r="B281" s="79"/>
      <c r="C281" s="80"/>
      <c r="D281" s="80"/>
      <c r="E281" s="8"/>
      <c r="F281" s="8"/>
      <c r="G281" s="15"/>
      <c r="H281" s="35"/>
      <c r="I281" s="8"/>
      <c r="J281" s="81"/>
      <c r="K281" s="82"/>
      <c r="L281" s="7"/>
      <c r="M281" s="7"/>
      <c r="N281" s="119"/>
      <c r="O281" s="117"/>
      <c r="P281" s="117"/>
      <c r="Q281" s="117"/>
      <c r="R281" s="117"/>
      <c r="S281" s="78">
        <f t="shared" si="16"/>
        <v>0</v>
      </c>
      <c r="T281" s="78" t="str">
        <f t="shared" si="17"/>
        <v>C</v>
      </c>
      <c r="U281" s="83" t="str">
        <f t="shared" si="18"/>
        <v/>
      </c>
    </row>
    <row r="282" spans="1:21" s="101" customFormat="1" ht="15.95" customHeight="1" x14ac:dyDescent="0.2">
      <c r="A282" s="118" t="str">
        <f t="shared" si="19"/>
        <v xml:space="preserve"> </v>
      </c>
      <c r="B282" s="79"/>
      <c r="C282" s="80"/>
      <c r="D282" s="80"/>
      <c r="E282" s="8"/>
      <c r="F282" s="8"/>
      <c r="G282" s="15"/>
      <c r="H282" s="35"/>
      <c r="I282" s="8"/>
      <c r="J282" s="81"/>
      <c r="K282" s="82"/>
      <c r="L282" s="7"/>
      <c r="M282" s="7"/>
      <c r="N282" s="119"/>
      <c r="O282" s="117"/>
      <c r="P282" s="117"/>
      <c r="Q282" s="117"/>
      <c r="R282" s="117"/>
      <c r="S282" s="78">
        <f t="shared" si="16"/>
        <v>0</v>
      </c>
      <c r="T282" s="78" t="str">
        <f t="shared" si="17"/>
        <v>C</v>
      </c>
      <c r="U282" s="83" t="str">
        <f t="shared" si="18"/>
        <v/>
      </c>
    </row>
    <row r="283" spans="1:21" s="101" customFormat="1" ht="15.95" customHeight="1" x14ac:dyDescent="0.2">
      <c r="A283" s="118" t="str">
        <f t="shared" si="19"/>
        <v xml:space="preserve"> </v>
      </c>
      <c r="B283" s="79"/>
      <c r="C283" s="80"/>
      <c r="D283" s="80"/>
      <c r="E283" s="8"/>
      <c r="F283" s="8"/>
      <c r="G283" s="15"/>
      <c r="H283" s="35"/>
      <c r="I283" s="8"/>
      <c r="J283" s="81"/>
      <c r="K283" s="82"/>
      <c r="L283" s="7"/>
      <c r="M283" s="7"/>
      <c r="N283" s="119"/>
      <c r="O283" s="117"/>
      <c r="P283" s="117"/>
      <c r="Q283" s="117"/>
      <c r="R283" s="117"/>
      <c r="S283" s="78">
        <f t="shared" si="16"/>
        <v>0</v>
      </c>
      <c r="T283" s="78" t="str">
        <f t="shared" si="17"/>
        <v>C</v>
      </c>
      <c r="U283" s="83" t="str">
        <f t="shared" si="18"/>
        <v/>
      </c>
    </row>
    <row r="284" spans="1:21" s="101" customFormat="1" ht="15.95" customHeight="1" x14ac:dyDescent="0.2">
      <c r="A284" s="118" t="str">
        <f t="shared" si="19"/>
        <v xml:space="preserve"> </v>
      </c>
      <c r="B284" s="79"/>
      <c r="C284" s="80"/>
      <c r="D284" s="80"/>
      <c r="E284" s="8"/>
      <c r="F284" s="8"/>
      <c r="G284" s="15"/>
      <c r="H284" s="35"/>
      <c r="I284" s="8"/>
      <c r="J284" s="81"/>
      <c r="K284" s="82"/>
      <c r="L284" s="7"/>
      <c r="M284" s="7"/>
      <c r="N284" s="119"/>
      <c r="O284" s="117"/>
      <c r="P284" s="117"/>
      <c r="Q284" s="117"/>
      <c r="R284" s="117"/>
      <c r="S284" s="78">
        <f t="shared" si="16"/>
        <v>0</v>
      </c>
      <c r="T284" s="78" t="str">
        <f t="shared" si="17"/>
        <v>C</v>
      </c>
      <c r="U284" s="83" t="str">
        <f t="shared" si="18"/>
        <v/>
      </c>
    </row>
    <row r="285" spans="1:21" s="101" customFormat="1" ht="15.95" customHeight="1" x14ac:dyDescent="0.2">
      <c r="A285" s="118" t="str">
        <f t="shared" si="19"/>
        <v xml:space="preserve"> </v>
      </c>
      <c r="B285" s="79"/>
      <c r="C285" s="80"/>
      <c r="D285" s="80"/>
      <c r="E285" s="8"/>
      <c r="F285" s="8"/>
      <c r="G285" s="15"/>
      <c r="H285" s="35"/>
      <c r="I285" s="8"/>
      <c r="J285" s="81"/>
      <c r="K285" s="82"/>
      <c r="L285" s="7"/>
      <c r="M285" s="7"/>
      <c r="N285" s="119"/>
      <c r="O285" s="117"/>
      <c r="P285" s="117"/>
      <c r="Q285" s="117"/>
      <c r="R285" s="117"/>
      <c r="S285" s="78">
        <f t="shared" si="16"/>
        <v>0</v>
      </c>
      <c r="T285" s="78" t="str">
        <f t="shared" si="17"/>
        <v>C</v>
      </c>
      <c r="U285" s="83" t="str">
        <f t="shared" si="18"/>
        <v/>
      </c>
    </row>
    <row r="286" spans="1:21" s="101" customFormat="1" ht="15.95" customHeight="1" x14ac:dyDescent="0.2">
      <c r="A286" s="118" t="str">
        <f t="shared" si="19"/>
        <v xml:space="preserve"> </v>
      </c>
      <c r="B286" s="79"/>
      <c r="C286" s="80"/>
      <c r="D286" s="80"/>
      <c r="E286" s="8"/>
      <c r="F286" s="8"/>
      <c r="G286" s="15"/>
      <c r="H286" s="35"/>
      <c r="I286" s="8"/>
      <c r="J286" s="81"/>
      <c r="K286" s="82"/>
      <c r="L286" s="7"/>
      <c r="M286" s="7"/>
      <c r="N286" s="119"/>
      <c r="O286" s="117"/>
      <c r="P286" s="117"/>
      <c r="Q286" s="117"/>
      <c r="R286" s="117"/>
      <c r="S286" s="78">
        <f t="shared" si="16"/>
        <v>0</v>
      </c>
      <c r="T286" s="78" t="str">
        <f t="shared" si="17"/>
        <v>C</v>
      </c>
      <c r="U286" s="83" t="str">
        <f t="shared" si="18"/>
        <v/>
      </c>
    </row>
    <row r="287" spans="1:21" s="101" customFormat="1" ht="15.95" customHeight="1" x14ac:dyDescent="0.2">
      <c r="A287" s="118" t="str">
        <f t="shared" si="19"/>
        <v xml:space="preserve"> </v>
      </c>
      <c r="B287" s="79"/>
      <c r="C287" s="80"/>
      <c r="D287" s="80"/>
      <c r="E287" s="8"/>
      <c r="F287" s="8"/>
      <c r="G287" s="15"/>
      <c r="H287" s="35"/>
      <c r="I287" s="8"/>
      <c r="J287" s="81"/>
      <c r="K287" s="82"/>
      <c r="L287" s="7"/>
      <c r="M287" s="7"/>
      <c r="N287" s="119"/>
      <c r="O287" s="117"/>
      <c r="P287" s="117"/>
      <c r="Q287" s="117"/>
      <c r="R287" s="117"/>
      <c r="S287" s="78">
        <f t="shared" si="16"/>
        <v>0</v>
      </c>
      <c r="T287" s="78" t="str">
        <f t="shared" si="17"/>
        <v>C</v>
      </c>
      <c r="U287" s="83" t="str">
        <f t="shared" si="18"/>
        <v/>
      </c>
    </row>
    <row r="288" spans="1:21" s="101" customFormat="1" ht="15.95" customHeight="1" x14ac:dyDescent="0.2">
      <c r="A288" s="118" t="str">
        <f t="shared" si="19"/>
        <v xml:space="preserve"> </v>
      </c>
      <c r="B288" s="79"/>
      <c r="C288" s="80"/>
      <c r="D288" s="80"/>
      <c r="E288" s="8"/>
      <c r="F288" s="8"/>
      <c r="G288" s="15"/>
      <c r="H288" s="35"/>
      <c r="I288" s="8"/>
      <c r="J288" s="81"/>
      <c r="K288" s="82"/>
      <c r="L288" s="7"/>
      <c r="M288" s="7"/>
      <c r="N288" s="119"/>
      <c r="O288" s="117"/>
      <c r="P288" s="117"/>
      <c r="Q288" s="117"/>
      <c r="R288" s="117"/>
      <c r="S288" s="78">
        <f t="shared" si="16"/>
        <v>0</v>
      </c>
      <c r="T288" s="78" t="str">
        <f t="shared" si="17"/>
        <v>C</v>
      </c>
      <c r="U288" s="83" t="str">
        <f t="shared" si="18"/>
        <v/>
      </c>
    </row>
    <row r="289" spans="1:21" s="101" customFormat="1" ht="15.95" customHeight="1" x14ac:dyDescent="0.2">
      <c r="A289" s="118" t="str">
        <f t="shared" si="19"/>
        <v xml:space="preserve"> </v>
      </c>
      <c r="B289" s="79"/>
      <c r="C289" s="80"/>
      <c r="D289" s="80"/>
      <c r="E289" s="8"/>
      <c r="F289" s="8"/>
      <c r="G289" s="15"/>
      <c r="H289" s="35"/>
      <c r="I289" s="8"/>
      <c r="J289" s="81"/>
      <c r="K289" s="82"/>
      <c r="L289" s="7"/>
      <c r="M289" s="7"/>
      <c r="N289" s="119"/>
      <c r="O289" s="117"/>
      <c r="P289" s="117"/>
      <c r="Q289" s="117"/>
      <c r="R289" s="117"/>
      <c r="S289" s="78">
        <f t="shared" si="16"/>
        <v>0</v>
      </c>
      <c r="T289" s="78" t="str">
        <f t="shared" si="17"/>
        <v>C</v>
      </c>
      <c r="U289" s="83" t="str">
        <f t="shared" si="18"/>
        <v/>
      </c>
    </row>
    <row r="290" spans="1:21" s="101" customFormat="1" ht="15.95" customHeight="1" x14ac:dyDescent="0.2">
      <c r="A290" s="118" t="str">
        <f t="shared" si="19"/>
        <v xml:space="preserve"> </v>
      </c>
      <c r="B290" s="79"/>
      <c r="C290" s="80"/>
      <c r="D290" s="80"/>
      <c r="E290" s="8"/>
      <c r="F290" s="8"/>
      <c r="G290" s="15"/>
      <c r="H290" s="35"/>
      <c r="I290" s="8"/>
      <c r="J290" s="81"/>
      <c r="K290" s="82"/>
      <c r="L290" s="7"/>
      <c r="M290" s="7"/>
      <c r="N290" s="119"/>
      <c r="O290" s="117"/>
      <c r="P290" s="117"/>
      <c r="Q290" s="117"/>
      <c r="R290" s="117"/>
      <c r="S290" s="78">
        <f t="shared" si="16"/>
        <v>0</v>
      </c>
      <c r="T290" s="78" t="str">
        <f t="shared" si="17"/>
        <v>C</v>
      </c>
      <c r="U290" s="83" t="str">
        <f t="shared" si="18"/>
        <v/>
      </c>
    </row>
    <row r="291" spans="1:21" s="101" customFormat="1" ht="15.95" customHeight="1" x14ac:dyDescent="0.2">
      <c r="A291" s="118" t="str">
        <f t="shared" si="19"/>
        <v xml:space="preserve"> </v>
      </c>
      <c r="B291" s="79"/>
      <c r="C291" s="80"/>
      <c r="D291" s="80"/>
      <c r="E291" s="8"/>
      <c r="F291" s="8"/>
      <c r="G291" s="15"/>
      <c r="H291" s="35"/>
      <c r="I291" s="8"/>
      <c r="J291" s="81"/>
      <c r="K291" s="82"/>
      <c r="L291" s="7"/>
      <c r="M291" s="7"/>
      <c r="N291" s="119"/>
      <c r="O291" s="117"/>
      <c r="P291" s="117"/>
      <c r="Q291" s="117"/>
      <c r="R291" s="117"/>
      <c r="S291" s="78">
        <f t="shared" si="16"/>
        <v>0</v>
      </c>
      <c r="T291" s="78" t="str">
        <f t="shared" si="17"/>
        <v>C</v>
      </c>
      <c r="U291" s="83" t="str">
        <f t="shared" si="18"/>
        <v/>
      </c>
    </row>
    <row r="292" spans="1:21" s="101" customFormat="1" ht="15.95" customHeight="1" x14ac:dyDescent="0.2">
      <c r="A292" s="118" t="str">
        <f t="shared" si="19"/>
        <v xml:space="preserve"> </v>
      </c>
      <c r="B292" s="79"/>
      <c r="C292" s="80"/>
      <c r="D292" s="80"/>
      <c r="E292" s="8"/>
      <c r="F292" s="8"/>
      <c r="G292" s="15"/>
      <c r="H292" s="35"/>
      <c r="I292" s="8"/>
      <c r="J292" s="81"/>
      <c r="K292" s="82"/>
      <c r="L292" s="7"/>
      <c r="M292" s="7"/>
      <c r="N292" s="119"/>
      <c r="O292" s="117"/>
      <c r="P292" s="117"/>
      <c r="Q292" s="117"/>
      <c r="R292" s="117"/>
      <c r="S292" s="78">
        <f t="shared" si="16"/>
        <v>0</v>
      </c>
      <c r="T292" s="78" t="str">
        <f t="shared" si="17"/>
        <v>C</v>
      </c>
      <c r="U292" s="83" t="str">
        <f t="shared" si="18"/>
        <v/>
      </c>
    </row>
    <row r="293" spans="1:21" s="101" customFormat="1" ht="15.95" customHeight="1" x14ac:dyDescent="0.2">
      <c r="A293" s="118" t="str">
        <f t="shared" si="19"/>
        <v xml:space="preserve"> </v>
      </c>
      <c r="B293" s="79"/>
      <c r="C293" s="80"/>
      <c r="D293" s="80"/>
      <c r="E293" s="8"/>
      <c r="F293" s="8"/>
      <c r="G293" s="15"/>
      <c r="H293" s="35"/>
      <c r="I293" s="8"/>
      <c r="J293" s="81"/>
      <c r="K293" s="82"/>
      <c r="L293" s="7"/>
      <c r="M293" s="7"/>
      <c r="N293" s="119"/>
      <c r="O293" s="117"/>
      <c r="P293" s="117"/>
      <c r="Q293" s="117"/>
      <c r="R293" s="117"/>
      <c r="S293" s="78">
        <f t="shared" si="16"/>
        <v>0</v>
      </c>
      <c r="T293" s="78" t="str">
        <f t="shared" si="17"/>
        <v>C</v>
      </c>
      <c r="U293" s="83" t="str">
        <f t="shared" si="18"/>
        <v/>
      </c>
    </row>
    <row r="294" spans="1:21" s="101" customFormat="1" ht="15.95" customHeight="1" x14ac:dyDescent="0.2">
      <c r="A294" s="118" t="str">
        <f t="shared" si="19"/>
        <v xml:space="preserve"> </v>
      </c>
      <c r="B294" s="79"/>
      <c r="C294" s="80"/>
      <c r="D294" s="80"/>
      <c r="E294" s="8"/>
      <c r="F294" s="8"/>
      <c r="G294" s="15"/>
      <c r="H294" s="35"/>
      <c r="I294" s="8"/>
      <c r="J294" s="81"/>
      <c r="K294" s="82"/>
      <c r="L294" s="7"/>
      <c r="M294" s="7"/>
      <c r="N294" s="119"/>
      <c r="O294" s="117"/>
      <c r="P294" s="117"/>
      <c r="Q294" s="117"/>
      <c r="R294" s="117"/>
      <c r="S294" s="78">
        <f t="shared" si="16"/>
        <v>0</v>
      </c>
      <c r="T294" s="78" t="str">
        <f t="shared" si="17"/>
        <v>C</v>
      </c>
      <c r="U294" s="83" t="str">
        <f t="shared" si="18"/>
        <v/>
      </c>
    </row>
    <row r="295" spans="1:21" s="101" customFormat="1" ht="15.95" customHeight="1" x14ac:dyDescent="0.2">
      <c r="A295" s="118" t="str">
        <f t="shared" si="19"/>
        <v xml:space="preserve"> </v>
      </c>
      <c r="B295" s="79"/>
      <c r="C295" s="80"/>
      <c r="D295" s="80"/>
      <c r="E295" s="8"/>
      <c r="F295" s="8"/>
      <c r="G295" s="15"/>
      <c r="H295" s="35"/>
      <c r="I295" s="8"/>
      <c r="J295" s="81"/>
      <c r="K295" s="82"/>
      <c r="L295" s="7"/>
      <c r="M295" s="7"/>
      <c r="N295" s="119"/>
      <c r="O295" s="117"/>
      <c r="P295" s="117"/>
      <c r="Q295" s="117"/>
      <c r="R295" s="117"/>
      <c r="S295" s="78">
        <f t="shared" si="16"/>
        <v>0</v>
      </c>
      <c r="T295" s="78" t="str">
        <f t="shared" si="17"/>
        <v>C</v>
      </c>
      <c r="U295" s="83" t="str">
        <f t="shared" si="18"/>
        <v/>
      </c>
    </row>
    <row r="296" spans="1:21" s="101" customFormat="1" ht="15.95" customHeight="1" x14ac:dyDescent="0.2">
      <c r="A296" s="118" t="str">
        <f t="shared" si="19"/>
        <v xml:space="preserve"> </v>
      </c>
      <c r="B296" s="79"/>
      <c r="C296" s="80"/>
      <c r="D296" s="80"/>
      <c r="E296" s="8"/>
      <c r="F296" s="8"/>
      <c r="G296" s="15"/>
      <c r="H296" s="35"/>
      <c r="I296" s="8"/>
      <c r="J296" s="81"/>
      <c r="K296" s="82"/>
      <c r="L296" s="7"/>
      <c r="M296" s="7"/>
      <c r="N296" s="119"/>
      <c r="O296" s="117"/>
      <c r="P296" s="117"/>
      <c r="Q296" s="117"/>
      <c r="R296" s="117"/>
      <c r="S296" s="78">
        <f t="shared" si="16"/>
        <v>0</v>
      </c>
      <c r="T296" s="78" t="str">
        <f t="shared" si="17"/>
        <v>C</v>
      </c>
      <c r="U296" s="83" t="str">
        <f t="shared" si="18"/>
        <v/>
      </c>
    </row>
    <row r="297" spans="1:21" s="101" customFormat="1" ht="15.95" customHeight="1" x14ac:dyDescent="0.2">
      <c r="A297" s="118" t="str">
        <f t="shared" si="19"/>
        <v xml:space="preserve"> </v>
      </c>
      <c r="B297" s="79"/>
      <c r="C297" s="80"/>
      <c r="D297" s="80"/>
      <c r="E297" s="8"/>
      <c r="F297" s="8"/>
      <c r="G297" s="15"/>
      <c r="H297" s="35"/>
      <c r="I297" s="8"/>
      <c r="J297" s="81"/>
      <c r="K297" s="82"/>
      <c r="L297" s="7"/>
      <c r="M297" s="7"/>
      <c r="N297" s="119"/>
      <c r="O297" s="117"/>
      <c r="P297" s="117"/>
      <c r="Q297" s="117"/>
      <c r="R297" s="117"/>
      <c r="S297" s="78">
        <f t="shared" si="16"/>
        <v>0</v>
      </c>
      <c r="T297" s="78" t="str">
        <f t="shared" si="17"/>
        <v>C</v>
      </c>
      <c r="U297" s="83" t="str">
        <f t="shared" si="18"/>
        <v/>
      </c>
    </row>
    <row r="298" spans="1:21" s="101" customFormat="1" ht="15.95" customHeight="1" x14ac:dyDescent="0.2">
      <c r="A298" s="118" t="str">
        <f t="shared" si="19"/>
        <v xml:space="preserve"> </v>
      </c>
      <c r="B298" s="79"/>
      <c r="C298" s="80"/>
      <c r="D298" s="80"/>
      <c r="E298" s="8"/>
      <c r="F298" s="8"/>
      <c r="G298" s="15"/>
      <c r="H298" s="35"/>
      <c r="I298" s="8"/>
      <c r="J298" s="81"/>
      <c r="K298" s="82"/>
      <c r="L298" s="7"/>
      <c r="M298" s="7"/>
      <c r="N298" s="119"/>
      <c r="O298" s="117"/>
      <c r="P298" s="117"/>
      <c r="Q298" s="117"/>
      <c r="R298" s="117"/>
      <c r="S298" s="78">
        <f t="shared" si="16"/>
        <v>0</v>
      </c>
      <c r="T298" s="78" t="str">
        <f t="shared" si="17"/>
        <v>C</v>
      </c>
      <c r="U298" s="83" t="str">
        <f t="shared" si="18"/>
        <v/>
      </c>
    </row>
    <row r="299" spans="1:21" s="101" customFormat="1" ht="15.95" customHeight="1" x14ac:dyDescent="0.2">
      <c r="A299" s="118" t="str">
        <f t="shared" si="19"/>
        <v xml:space="preserve"> </v>
      </c>
      <c r="B299" s="79"/>
      <c r="C299" s="80"/>
      <c r="D299" s="80"/>
      <c r="E299" s="8"/>
      <c r="F299" s="8"/>
      <c r="G299" s="15"/>
      <c r="H299" s="35"/>
      <c r="I299" s="8"/>
      <c r="J299" s="81"/>
      <c r="K299" s="82"/>
      <c r="L299" s="7"/>
      <c r="M299" s="7"/>
      <c r="N299" s="119"/>
      <c r="O299" s="117"/>
      <c r="P299" s="117"/>
      <c r="Q299" s="117"/>
      <c r="R299" s="117"/>
      <c r="S299" s="78">
        <f t="shared" si="16"/>
        <v>0</v>
      </c>
      <c r="T299" s="78" t="str">
        <f t="shared" si="17"/>
        <v>C</v>
      </c>
      <c r="U299" s="83" t="str">
        <f t="shared" si="18"/>
        <v/>
      </c>
    </row>
    <row r="300" spans="1:21" s="101" customFormat="1" ht="15.95" customHeight="1" x14ac:dyDescent="0.2">
      <c r="A300" s="118" t="str">
        <f t="shared" si="19"/>
        <v xml:space="preserve"> </v>
      </c>
      <c r="B300" s="79"/>
      <c r="C300" s="80"/>
      <c r="D300" s="80"/>
      <c r="E300" s="8"/>
      <c r="F300" s="8"/>
      <c r="G300" s="15"/>
      <c r="H300" s="35"/>
      <c r="I300" s="8"/>
      <c r="J300" s="81"/>
      <c r="K300" s="82"/>
      <c r="L300" s="7"/>
      <c r="M300" s="7"/>
      <c r="N300" s="119"/>
      <c r="O300" s="117"/>
      <c r="P300" s="117"/>
      <c r="Q300" s="117"/>
      <c r="R300" s="117"/>
      <c r="S300" s="78">
        <f t="shared" si="16"/>
        <v>0</v>
      </c>
      <c r="T300" s="78" t="str">
        <f t="shared" si="17"/>
        <v>C</v>
      </c>
      <c r="U300" s="83" t="str">
        <f t="shared" si="18"/>
        <v/>
      </c>
    </row>
    <row r="301" spans="1:21" s="101" customFormat="1" ht="15.95" customHeight="1" x14ac:dyDescent="0.2">
      <c r="A301" s="118" t="str">
        <f t="shared" si="19"/>
        <v xml:space="preserve"> </v>
      </c>
      <c r="B301" s="79"/>
      <c r="C301" s="80"/>
      <c r="D301" s="80"/>
      <c r="E301" s="8"/>
      <c r="F301" s="8"/>
      <c r="G301" s="15"/>
      <c r="H301" s="35"/>
      <c r="I301" s="8"/>
      <c r="J301" s="81"/>
      <c r="K301" s="82"/>
      <c r="L301" s="7"/>
      <c r="M301" s="7"/>
      <c r="N301" s="119"/>
      <c r="O301" s="117"/>
      <c r="P301" s="117"/>
      <c r="Q301" s="117"/>
      <c r="R301" s="117"/>
      <c r="S301" s="78">
        <f t="shared" si="16"/>
        <v>0</v>
      </c>
      <c r="T301" s="78" t="str">
        <f t="shared" si="17"/>
        <v>C</v>
      </c>
      <c r="U301" s="83" t="str">
        <f t="shared" si="18"/>
        <v/>
      </c>
    </row>
    <row r="302" spans="1:21" s="101" customFormat="1" ht="15.95" customHeight="1" x14ac:dyDescent="0.2">
      <c r="A302" s="118" t="str">
        <f t="shared" si="19"/>
        <v xml:space="preserve"> </v>
      </c>
      <c r="B302" s="79"/>
      <c r="C302" s="80"/>
      <c r="D302" s="80"/>
      <c r="E302" s="8"/>
      <c r="F302" s="8"/>
      <c r="G302" s="15"/>
      <c r="H302" s="35"/>
      <c r="I302" s="8"/>
      <c r="J302" s="81"/>
      <c r="K302" s="82"/>
      <c r="L302" s="7"/>
      <c r="M302" s="7"/>
      <c r="N302" s="119"/>
      <c r="O302" s="117"/>
      <c r="P302" s="117"/>
      <c r="Q302" s="117"/>
      <c r="R302" s="117"/>
      <c r="S302" s="78">
        <f t="shared" si="16"/>
        <v>0</v>
      </c>
      <c r="T302" s="78" t="str">
        <f t="shared" si="17"/>
        <v>C</v>
      </c>
      <c r="U302" s="83" t="str">
        <f t="shared" si="18"/>
        <v/>
      </c>
    </row>
    <row r="303" spans="1:21" s="101" customFormat="1" ht="15.95" customHeight="1" x14ac:dyDescent="0.2">
      <c r="A303" s="118" t="str">
        <f t="shared" si="19"/>
        <v xml:space="preserve"> </v>
      </c>
      <c r="B303" s="79"/>
      <c r="C303" s="80"/>
      <c r="D303" s="80"/>
      <c r="E303" s="8"/>
      <c r="F303" s="8"/>
      <c r="G303" s="15"/>
      <c r="H303" s="35"/>
      <c r="I303" s="8"/>
      <c r="J303" s="81"/>
      <c r="K303" s="82"/>
      <c r="L303" s="7"/>
      <c r="M303" s="7"/>
      <c r="N303" s="119"/>
      <c r="O303" s="117"/>
      <c r="P303" s="117"/>
      <c r="Q303" s="117"/>
      <c r="R303" s="117"/>
      <c r="S303" s="78">
        <f t="shared" si="16"/>
        <v>0</v>
      </c>
      <c r="T303" s="78" t="str">
        <f t="shared" si="17"/>
        <v>C</v>
      </c>
      <c r="U303" s="83" t="str">
        <f t="shared" si="18"/>
        <v/>
      </c>
    </row>
    <row r="304" spans="1:21" s="101" customFormat="1" ht="15.95" customHeight="1" x14ac:dyDescent="0.2">
      <c r="A304" s="118" t="str">
        <f t="shared" si="19"/>
        <v xml:space="preserve"> </v>
      </c>
      <c r="B304" s="79"/>
      <c r="C304" s="80"/>
      <c r="D304" s="80"/>
      <c r="E304" s="8"/>
      <c r="F304" s="8"/>
      <c r="G304" s="15"/>
      <c r="H304" s="35"/>
      <c r="I304" s="8"/>
      <c r="J304" s="81"/>
      <c r="K304" s="82"/>
      <c r="L304" s="7"/>
      <c r="M304" s="7"/>
      <c r="N304" s="119"/>
      <c r="O304" s="117"/>
      <c r="P304" s="117"/>
      <c r="Q304" s="117"/>
      <c r="R304" s="117"/>
      <c r="S304" s="78">
        <f t="shared" si="16"/>
        <v>0</v>
      </c>
      <c r="T304" s="78" t="str">
        <f t="shared" si="17"/>
        <v>C</v>
      </c>
      <c r="U304" s="83" t="str">
        <f t="shared" si="18"/>
        <v/>
      </c>
    </row>
    <row r="305" spans="1:21" s="101" customFormat="1" ht="15.95" customHeight="1" x14ac:dyDescent="0.2">
      <c r="A305" s="118" t="str">
        <f t="shared" si="19"/>
        <v xml:space="preserve"> </v>
      </c>
      <c r="B305" s="79"/>
      <c r="C305" s="80"/>
      <c r="D305" s="80"/>
      <c r="E305" s="8"/>
      <c r="F305" s="8"/>
      <c r="G305" s="15"/>
      <c r="H305" s="35"/>
      <c r="I305" s="8"/>
      <c r="J305" s="81"/>
      <c r="K305" s="82"/>
      <c r="L305" s="7"/>
      <c r="M305" s="7"/>
      <c r="N305" s="119"/>
      <c r="O305" s="117"/>
      <c r="P305" s="117"/>
      <c r="Q305" s="117"/>
      <c r="R305" s="117"/>
      <c r="S305" s="78">
        <f t="shared" si="16"/>
        <v>0</v>
      </c>
      <c r="T305" s="78" t="str">
        <f t="shared" si="17"/>
        <v>C</v>
      </c>
      <c r="U305" s="83" t="str">
        <f t="shared" si="18"/>
        <v/>
      </c>
    </row>
    <row r="306" spans="1:21" s="101" customFormat="1" ht="15.95" customHeight="1" x14ac:dyDescent="0.2">
      <c r="A306" s="118" t="str">
        <f t="shared" si="19"/>
        <v xml:space="preserve"> </v>
      </c>
      <c r="B306" s="79"/>
      <c r="C306" s="80"/>
      <c r="D306" s="80"/>
      <c r="E306" s="8"/>
      <c r="F306" s="8"/>
      <c r="G306" s="15"/>
      <c r="H306" s="35"/>
      <c r="I306" s="8"/>
      <c r="J306" s="81"/>
      <c r="K306" s="82"/>
      <c r="L306" s="7"/>
      <c r="M306" s="7"/>
      <c r="N306" s="119"/>
      <c r="O306" s="117"/>
      <c r="P306" s="117"/>
      <c r="Q306" s="117"/>
      <c r="R306" s="117"/>
      <c r="S306" s="78">
        <f t="shared" si="16"/>
        <v>0</v>
      </c>
      <c r="T306" s="78" t="str">
        <f t="shared" si="17"/>
        <v>C</v>
      </c>
      <c r="U306" s="83" t="str">
        <f t="shared" si="18"/>
        <v/>
      </c>
    </row>
    <row r="307" spans="1:21" s="101" customFormat="1" ht="15.95" customHeight="1" x14ac:dyDescent="0.2">
      <c r="A307" s="118" t="str">
        <f t="shared" si="19"/>
        <v xml:space="preserve"> </v>
      </c>
      <c r="B307" s="79"/>
      <c r="C307" s="80"/>
      <c r="D307" s="80"/>
      <c r="E307" s="8"/>
      <c r="F307" s="8"/>
      <c r="G307" s="15"/>
      <c r="H307" s="35"/>
      <c r="I307" s="8"/>
      <c r="J307" s="81"/>
      <c r="K307" s="82"/>
      <c r="L307" s="7"/>
      <c r="M307" s="7"/>
      <c r="N307" s="119"/>
      <c r="O307" s="117"/>
      <c r="P307" s="117"/>
      <c r="Q307" s="117"/>
      <c r="R307" s="117"/>
      <c r="S307" s="78">
        <f t="shared" si="16"/>
        <v>0</v>
      </c>
      <c r="T307" s="78" t="str">
        <f t="shared" si="17"/>
        <v>C</v>
      </c>
      <c r="U307" s="83" t="str">
        <f t="shared" si="18"/>
        <v/>
      </c>
    </row>
    <row r="308" spans="1:21" s="101" customFormat="1" ht="15.95" customHeight="1" x14ac:dyDescent="0.2">
      <c r="A308" s="118" t="str">
        <f t="shared" si="19"/>
        <v xml:space="preserve"> </v>
      </c>
      <c r="B308" s="79"/>
      <c r="C308" s="80"/>
      <c r="D308" s="80"/>
      <c r="E308" s="8"/>
      <c r="F308" s="8"/>
      <c r="G308" s="15"/>
      <c r="H308" s="35"/>
      <c r="I308" s="8"/>
      <c r="J308" s="81"/>
      <c r="K308" s="82"/>
      <c r="L308" s="7"/>
      <c r="M308" s="7"/>
      <c r="N308" s="119"/>
      <c r="O308" s="117"/>
      <c r="P308" s="117"/>
      <c r="Q308" s="117"/>
      <c r="R308" s="117"/>
      <c r="S308" s="78">
        <f t="shared" si="16"/>
        <v>0</v>
      </c>
      <c r="T308" s="78" t="str">
        <f t="shared" si="17"/>
        <v>C</v>
      </c>
      <c r="U308" s="83" t="str">
        <f t="shared" si="18"/>
        <v/>
      </c>
    </row>
    <row r="309" spans="1:21" s="101" customFormat="1" ht="15.95" customHeight="1" x14ac:dyDescent="0.2">
      <c r="A309" s="118" t="str">
        <f t="shared" si="19"/>
        <v xml:space="preserve"> </v>
      </c>
      <c r="B309" s="79"/>
      <c r="C309" s="80"/>
      <c r="D309" s="80"/>
      <c r="E309" s="8"/>
      <c r="F309" s="8"/>
      <c r="G309" s="15"/>
      <c r="H309" s="35"/>
      <c r="I309" s="8"/>
      <c r="J309" s="81"/>
      <c r="K309" s="82"/>
      <c r="L309" s="7"/>
      <c r="M309" s="7"/>
      <c r="N309" s="119"/>
      <c r="O309" s="117"/>
      <c r="P309" s="117"/>
      <c r="Q309" s="117"/>
      <c r="R309" s="117"/>
      <c r="S309" s="78">
        <f t="shared" si="16"/>
        <v>0</v>
      </c>
      <c r="T309" s="78" t="str">
        <f t="shared" si="17"/>
        <v>C</v>
      </c>
      <c r="U309" s="83" t="str">
        <f t="shared" si="18"/>
        <v/>
      </c>
    </row>
    <row r="310" spans="1:21" s="101" customFormat="1" ht="15.95" customHeight="1" x14ac:dyDescent="0.2">
      <c r="A310" s="118" t="str">
        <f t="shared" si="19"/>
        <v xml:space="preserve"> </v>
      </c>
      <c r="B310" s="79"/>
      <c r="C310" s="80"/>
      <c r="D310" s="80"/>
      <c r="E310" s="8"/>
      <c r="F310" s="8"/>
      <c r="G310" s="15"/>
      <c r="H310" s="35"/>
      <c r="I310" s="8"/>
      <c r="J310" s="81"/>
      <c r="K310" s="82"/>
      <c r="L310" s="7"/>
      <c r="M310" s="7"/>
      <c r="N310" s="119"/>
      <c r="O310" s="117"/>
      <c r="P310" s="117"/>
      <c r="Q310" s="117"/>
      <c r="R310" s="117"/>
      <c r="S310" s="78">
        <f t="shared" si="16"/>
        <v>0</v>
      </c>
      <c r="T310" s="78" t="str">
        <f t="shared" si="17"/>
        <v>C</v>
      </c>
      <c r="U310" s="83" t="str">
        <f t="shared" si="18"/>
        <v/>
      </c>
    </row>
    <row r="311" spans="1:21" s="101" customFormat="1" ht="15.95" customHeight="1" x14ac:dyDescent="0.2">
      <c r="A311" s="118" t="str">
        <f t="shared" si="19"/>
        <v xml:space="preserve"> </v>
      </c>
      <c r="B311" s="79"/>
      <c r="C311" s="80"/>
      <c r="D311" s="80"/>
      <c r="E311" s="8"/>
      <c r="F311" s="8"/>
      <c r="G311" s="15"/>
      <c r="H311" s="35"/>
      <c r="I311" s="8"/>
      <c r="J311" s="81"/>
      <c r="K311" s="82"/>
      <c r="L311" s="7"/>
      <c r="M311" s="7"/>
      <c r="N311" s="119"/>
      <c r="O311" s="117"/>
      <c r="P311" s="117"/>
      <c r="Q311" s="117"/>
      <c r="R311" s="117"/>
      <c r="S311" s="78">
        <f t="shared" si="16"/>
        <v>0</v>
      </c>
      <c r="T311" s="78" t="str">
        <f t="shared" si="17"/>
        <v>C</v>
      </c>
      <c r="U311" s="83" t="str">
        <f t="shared" si="18"/>
        <v/>
      </c>
    </row>
    <row r="312" spans="1:21" s="101" customFormat="1" ht="15.95" customHeight="1" x14ac:dyDescent="0.2">
      <c r="A312" s="118" t="str">
        <f t="shared" si="19"/>
        <v xml:space="preserve"> </v>
      </c>
      <c r="B312" s="79"/>
      <c r="C312" s="80"/>
      <c r="D312" s="80"/>
      <c r="E312" s="8"/>
      <c r="F312" s="8"/>
      <c r="G312" s="15"/>
      <c r="H312" s="35"/>
      <c r="I312" s="8"/>
      <c r="J312" s="81"/>
      <c r="K312" s="82"/>
      <c r="L312" s="7"/>
      <c r="M312" s="7"/>
      <c r="N312" s="119"/>
      <c r="O312" s="117"/>
      <c r="P312" s="117"/>
      <c r="Q312" s="117"/>
      <c r="R312" s="117"/>
      <c r="S312" s="78">
        <f t="shared" si="16"/>
        <v>0</v>
      </c>
      <c r="T312" s="78" t="str">
        <f t="shared" si="17"/>
        <v>C</v>
      </c>
      <c r="U312" s="83" t="str">
        <f t="shared" si="18"/>
        <v/>
      </c>
    </row>
    <row r="313" spans="1:21" s="101" customFormat="1" ht="15.95" customHeight="1" x14ac:dyDescent="0.2">
      <c r="A313" s="118" t="str">
        <f t="shared" si="19"/>
        <v xml:space="preserve"> </v>
      </c>
      <c r="B313" s="79"/>
      <c r="C313" s="80"/>
      <c r="D313" s="80"/>
      <c r="E313" s="8"/>
      <c r="F313" s="8"/>
      <c r="G313" s="15"/>
      <c r="H313" s="35"/>
      <c r="I313" s="8"/>
      <c r="J313" s="81"/>
      <c r="K313" s="82"/>
      <c r="L313" s="7"/>
      <c r="M313" s="7"/>
      <c r="N313" s="119"/>
      <c r="O313" s="117"/>
      <c r="P313" s="117"/>
      <c r="Q313" s="117"/>
      <c r="R313" s="117"/>
      <c r="S313" s="78">
        <f t="shared" si="16"/>
        <v>0</v>
      </c>
      <c r="T313" s="78" t="str">
        <f t="shared" si="17"/>
        <v>C</v>
      </c>
      <c r="U313" s="83" t="str">
        <f t="shared" si="18"/>
        <v/>
      </c>
    </row>
    <row r="314" spans="1:21" s="101" customFormat="1" ht="15.95" customHeight="1" x14ac:dyDescent="0.2">
      <c r="A314" s="118" t="str">
        <f t="shared" si="19"/>
        <v xml:space="preserve"> </v>
      </c>
      <c r="B314" s="79"/>
      <c r="C314" s="80"/>
      <c r="D314" s="80"/>
      <c r="E314" s="8"/>
      <c r="F314" s="8"/>
      <c r="G314" s="15"/>
      <c r="H314" s="35"/>
      <c r="I314" s="8"/>
      <c r="J314" s="81"/>
      <c r="K314" s="82"/>
      <c r="L314" s="7"/>
      <c r="M314" s="7"/>
      <c r="N314" s="119"/>
      <c r="O314" s="117"/>
      <c r="P314" s="117"/>
      <c r="Q314" s="117"/>
      <c r="R314" s="117"/>
      <c r="S314" s="78">
        <f t="shared" si="16"/>
        <v>0</v>
      </c>
      <c r="T314" s="78" t="str">
        <f t="shared" si="17"/>
        <v>C</v>
      </c>
      <c r="U314" s="83" t="str">
        <f t="shared" si="18"/>
        <v/>
      </c>
    </row>
    <row r="315" spans="1:21" s="101" customFormat="1" ht="15.95" customHeight="1" x14ac:dyDescent="0.2">
      <c r="A315" s="118" t="str">
        <f t="shared" si="19"/>
        <v xml:space="preserve"> </v>
      </c>
      <c r="B315" s="79"/>
      <c r="C315" s="80"/>
      <c r="D315" s="80"/>
      <c r="E315" s="8"/>
      <c r="F315" s="8"/>
      <c r="G315" s="15"/>
      <c r="H315" s="35"/>
      <c r="I315" s="8"/>
      <c r="J315" s="81"/>
      <c r="K315" s="82"/>
      <c r="L315" s="7"/>
      <c r="M315" s="7"/>
      <c r="N315" s="119"/>
      <c r="O315" s="117"/>
      <c r="P315" s="117"/>
      <c r="Q315" s="117"/>
      <c r="R315" s="117"/>
      <c r="S315" s="78">
        <f t="shared" si="16"/>
        <v>0</v>
      </c>
      <c r="T315" s="78" t="str">
        <f t="shared" si="17"/>
        <v>C</v>
      </c>
      <c r="U315" s="83" t="str">
        <f t="shared" si="18"/>
        <v/>
      </c>
    </row>
    <row r="316" spans="1:21" s="101" customFormat="1" ht="15.95" customHeight="1" x14ac:dyDescent="0.2">
      <c r="A316" s="118" t="str">
        <f t="shared" si="19"/>
        <v xml:space="preserve"> </v>
      </c>
      <c r="B316" s="79"/>
      <c r="C316" s="80"/>
      <c r="D316" s="80"/>
      <c r="E316" s="8"/>
      <c r="F316" s="8"/>
      <c r="G316" s="15"/>
      <c r="H316" s="35"/>
      <c r="I316" s="8"/>
      <c r="J316" s="81"/>
      <c r="K316" s="82"/>
      <c r="L316" s="7"/>
      <c r="M316" s="7"/>
      <c r="N316" s="119"/>
      <c r="O316" s="117"/>
      <c r="P316" s="117"/>
      <c r="Q316" s="117"/>
      <c r="R316" s="117"/>
      <c r="S316" s="78">
        <f t="shared" si="16"/>
        <v>0</v>
      </c>
      <c r="T316" s="78" t="str">
        <f t="shared" si="17"/>
        <v>C</v>
      </c>
      <c r="U316" s="83" t="str">
        <f t="shared" si="18"/>
        <v/>
      </c>
    </row>
    <row r="317" spans="1:21" s="101" customFormat="1" ht="15.95" customHeight="1" x14ac:dyDescent="0.2">
      <c r="A317" s="118" t="str">
        <f t="shared" si="19"/>
        <v xml:space="preserve"> </v>
      </c>
      <c r="B317" s="79"/>
      <c r="C317" s="80"/>
      <c r="D317" s="80"/>
      <c r="E317" s="8"/>
      <c r="F317" s="8"/>
      <c r="G317" s="15"/>
      <c r="H317" s="35"/>
      <c r="I317" s="8"/>
      <c r="J317" s="81"/>
      <c r="K317" s="82"/>
      <c r="L317" s="7"/>
      <c r="M317" s="7"/>
      <c r="N317" s="119"/>
      <c r="O317" s="117"/>
      <c r="P317" s="117"/>
      <c r="Q317" s="117"/>
      <c r="R317" s="117"/>
      <c r="S317" s="78">
        <f t="shared" si="16"/>
        <v>0</v>
      </c>
      <c r="T317" s="78" t="str">
        <f t="shared" si="17"/>
        <v>C</v>
      </c>
      <c r="U317" s="83" t="str">
        <f t="shared" si="18"/>
        <v/>
      </c>
    </row>
    <row r="318" spans="1:21" s="101" customFormat="1" ht="15.95" customHeight="1" x14ac:dyDescent="0.2">
      <c r="A318" s="118" t="str">
        <f t="shared" si="19"/>
        <v xml:space="preserve"> </v>
      </c>
      <c r="B318" s="79"/>
      <c r="C318" s="80"/>
      <c r="D318" s="80"/>
      <c r="E318" s="8"/>
      <c r="F318" s="8"/>
      <c r="G318" s="15"/>
      <c r="H318" s="35"/>
      <c r="I318" s="8"/>
      <c r="J318" s="81"/>
      <c r="K318" s="82"/>
      <c r="L318" s="7"/>
      <c r="M318" s="7"/>
      <c r="N318" s="119"/>
      <c r="O318" s="117"/>
      <c r="P318" s="117"/>
      <c r="Q318" s="117"/>
      <c r="R318" s="117"/>
      <c r="S318" s="78">
        <f t="shared" si="16"/>
        <v>0</v>
      </c>
      <c r="T318" s="78" t="str">
        <f t="shared" si="17"/>
        <v>C</v>
      </c>
      <c r="U318" s="83" t="str">
        <f t="shared" si="18"/>
        <v/>
      </c>
    </row>
    <row r="319" spans="1:21" s="101" customFormat="1" ht="15.95" customHeight="1" x14ac:dyDescent="0.2">
      <c r="A319" s="118" t="str">
        <f t="shared" si="19"/>
        <v xml:space="preserve"> </v>
      </c>
      <c r="B319" s="79"/>
      <c r="C319" s="80"/>
      <c r="D319" s="80"/>
      <c r="E319" s="8"/>
      <c r="F319" s="8"/>
      <c r="G319" s="15"/>
      <c r="H319" s="35"/>
      <c r="I319" s="8"/>
      <c r="J319" s="81"/>
      <c r="K319" s="82"/>
      <c r="L319" s="7"/>
      <c r="M319" s="7"/>
      <c r="N319" s="119"/>
      <c r="O319" s="117"/>
      <c r="P319" s="117"/>
      <c r="Q319" s="117"/>
      <c r="R319" s="117"/>
      <c r="S319" s="78">
        <f t="shared" si="16"/>
        <v>0</v>
      </c>
      <c r="T319" s="78" t="str">
        <f t="shared" si="17"/>
        <v>C</v>
      </c>
      <c r="U319" s="83" t="str">
        <f t="shared" si="18"/>
        <v/>
      </c>
    </row>
    <row r="320" spans="1:21" s="101" customFormat="1" ht="15.95" customHeight="1" x14ac:dyDescent="0.2">
      <c r="A320" s="118" t="str">
        <f t="shared" si="19"/>
        <v xml:space="preserve"> </v>
      </c>
      <c r="B320" s="79"/>
      <c r="C320" s="80"/>
      <c r="D320" s="80"/>
      <c r="E320" s="8"/>
      <c r="F320" s="8"/>
      <c r="G320" s="15"/>
      <c r="H320" s="35"/>
      <c r="I320" s="8"/>
      <c r="J320" s="81"/>
      <c r="K320" s="82"/>
      <c r="L320" s="7"/>
      <c r="M320" s="7"/>
      <c r="N320" s="119"/>
      <c r="O320" s="117"/>
      <c r="P320" s="117"/>
      <c r="Q320" s="117"/>
      <c r="R320" s="117"/>
      <c r="S320" s="78">
        <f t="shared" si="16"/>
        <v>0</v>
      </c>
      <c r="T320" s="78" t="str">
        <f t="shared" si="17"/>
        <v>C</v>
      </c>
      <c r="U320" s="83" t="str">
        <f t="shared" si="18"/>
        <v/>
      </c>
    </row>
    <row r="321" spans="1:21" s="101" customFormat="1" ht="15.95" customHeight="1" x14ac:dyDescent="0.2">
      <c r="A321" s="118" t="str">
        <f t="shared" si="19"/>
        <v xml:space="preserve"> </v>
      </c>
      <c r="B321" s="79"/>
      <c r="C321" s="80"/>
      <c r="D321" s="80"/>
      <c r="E321" s="8"/>
      <c r="F321" s="8"/>
      <c r="G321" s="15"/>
      <c r="H321" s="35"/>
      <c r="I321" s="8"/>
      <c r="J321" s="81"/>
      <c r="K321" s="82"/>
      <c r="L321" s="7"/>
      <c r="M321" s="7"/>
      <c r="N321" s="119"/>
      <c r="O321" s="117"/>
      <c r="P321" s="117"/>
      <c r="Q321" s="117"/>
      <c r="R321" s="117"/>
      <c r="S321" s="78">
        <f t="shared" si="16"/>
        <v>0</v>
      </c>
      <c r="T321" s="78" t="str">
        <f t="shared" si="17"/>
        <v>C</v>
      </c>
      <c r="U321" s="83" t="str">
        <f t="shared" si="18"/>
        <v/>
      </c>
    </row>
    <row r="322" spans="1:21" s="101" customFormat="1" ht="15.95" customHeight="1" x14ac:dyDescent="0.2">
      <c r="A322" s="118" t="str">
        <f t="shared" si="19"/>
        <v xml:space="preserve"> </v>
      </c>
      <c r="B322" s="79"/>
      <c r="C322" s="80"/>
      <c r="D322" s="80"/>
      <c r="E322" s="8"/>
      <c r="F322" s="8"/>
      <c r="G322" s="15"/>
      <c r="H322" s="35"/>
      <c r="I322" s="8"/>
      <c r="J322" s="81"/>
      <c r="K322" s="82"/>
      <c r="L322" s="7"/>
      <c r="M322" s="7"/>
      <c r="N322" s="119"/>
      <c r="O322" s="117"/>
      <c r="P322" s="117"/>
      <c r="Q322" s="117"/>
      <c r="R322" s="117"/>
      <c r="S322" s="78">
        <f t="shared" si="16"/>
        <v>0</v>
      </c>
      <c r="T322" s="78" t="str">
        <f t="shared" si="17"/>
        <v>C</v>
      </c>
      <c r="U322" s="83" t="str">
        <f t="shared" si="18"/>
        <v/>
      </c>
    </row>
    <row r="323" spans="1:21" s="101" customFormat="1" ht="15.95" customHeight="1" x14ac:dyDescent="0.2">
      <c r="A323" s="118" t="str">
        <f t="shared" si="19"/>
        <v xml:space="preserve"> </v>
      </c>
      <c r="B323" s="79"/>
      <c r="C323" s="80"/>
      <c r="D323" s="80"/>
      <c r="E323" s="8"/>
      <c r="F323" s="8"/>
      <c r="G323" s="15"/>
      <c r="H323" s="35"/>
      <c r="I323" s="8"/>
      <c r="J323" s="81"/>
      <c r="K323" s="82"/>
      <c r="L323" s="7"/>
      <c r="M323" s="7"/>
      <c r="N323" s="119"/>
      <c r="O323" s="117"/>
      <c r="P323" s="117"/>
      <c r="Q323" s="117"/>
      <c r="R323" s="117"/>
      <c r="S323" s="78">
        <f t="shared" si="16"/>
        <v>0</v>
      </c>
      <c r="T323" s="78" t="str">
        <f t="shared" si="17"/>
        <v>C</v>
      </c>
      <c r="U323" s="83" t="str">
        <f t="shared" si="18"/>
        <v/>
      </c>
    </row>
    <row r="324" spans="1:21" s="101" customFormat="1" ht="15.95" customHeight="1" x14ac:dyDescent="0.2">
      <c r="A324" s="118" t="str">
        <f t="shared" si="19"/>
        <v xml:space="preserve"> </v>
      </c>
      <c r="B324" s="79"/>
      <c r="C324" s="80"/>
      <c r="D324" s="80"/>
      <c r="E324" s="8"/>
      <c r="F324" s="8"/>
      <c r="G324" s="15"/>
      <c r="H324" s="35"/>
      <c r="I324" s="8"/>
      <c r="J324" s="81"/>
      <c r="K324" s="82"/>
      <c r="L324" s="7"/>
      <c r="M324" s="7"/>
      <c r="N324" s="119"/>
      <c r="O324" s="117"/>
      <c r="P324" s="117"/>
      <c r="Q324" s="117"/>
      <c r="R324" s="117"/>
      <c r="S324" s="78">
        <f t="shared" si="16"/>
        <v>0</v>
      </c>
      <c r="T324" s="78" t="str">
        <f t="shared" si="17"/>
        <v>C</v>
      </c>
      <c r="U324" s="83" t="str">
        <f t="shared" si="18"/>
        <v/>
      </c>
    </row>
    <row r="325" spans="1:21" s="101" customFormat="1" ht="15.95" customHeight="1" x14ac:dyDescent="0.2">
      <c r="A325" s="118" t="str">
        <f t="shared" si="19"/>
        <v xml:space="preserve"> </v>
      </c>
      <c r="B325" s="79"/>
      <c r="C325" s="80"/>
      <c r="D325" s="80"/>
      <c r="E325" s="8"/>
      <c r="F325" s="8"/>
      <c r="G325" s="15"/>
      <c r="H325" s="35"/>
      <c r="I325" s="8"/>
      <c r="J325" s="81"/>
      <c r="K325" s="82"/>
      <c r="L325" s="7"/>
      <c r="M325" s="7"/>
      <c r="N325" s="119"/>
      <c r="O325" s="117"/>
      <c r="P325" s="117"/>
      <c r="Q325" s="117"/>
      <c r="R325" s="117"/>
      <c r="S325" s="78">
        <f t="shared" si="16"/>
        <v>0</v>
      </c>
      <c r="T325" s="78" t="str">
        <f t="shared" si="17"/>
        <v>C</v>
      </c>
      <c r="U325" s="83" t="str">
        <f t="shared" si="18"/>
        <v/>
      </c>
    </row>
    <row r="326" spans="1:21" s="101" customFormat="1" ht="15.95" customHeight="1" x14ac:dyDescent="0.2">
      <c r="A326" s="118" t="str">
        <f t="shared" si="19"/>
        <v xml:space="preserve"> </v>
      </c>
      <c r="B326" s="79"/>
      <c r="C326" s="80"/>
      <c r="D326" s="80"/>
      <c r="E326" s="8"/>
      <c r="F326" s="8"/>
      <c r="G326" s="15"/>
      <c r="H326" s="35"/>
      <c r="I326" s="8"/>
      <c r="J326" s="81"/>
      <c r="K326" s="82"/>
      <c r="L326" s="7"/>
      <c r="M326" s="7"/>
      <c r="N326" s="119"/>
      <c r="O326" s="117"/>
      <c r="P326" s="117"/>
      <c r="Q326" s="117"/>
      <c r="R326" s="117"/>
      <c r="S326" s="78">
        <f t="shared" si="16"/>
        <v>0</v>
      </c>
      <c r="T326" s="78" t="str">
        <f t="shared" si="17"/>
        <v>C</v>
      </c>
      <c r="U326" s="83" t="str">
        <f t="shared" si="18"/>
        <v/>
      </c>
    </row>
    <row r="327" spans="1:21" s="101" customFormat="1" ht="15.95" customHeight="1" x14ac:dyDescent="0.2">
      <c r="A327" s="118" t="str">
        <f t="shared" si="19"/>
        <v xml:space="preserve"> </v>
      </c>
      <c r="B327" s="79"/>
      <c r="C327" s="80"/>
      <c r="D327" s="80"/>
      <c r="E327" s="8"/>
      <c r="F327" s="8"/>
      <c r="G327" s="15"/>
      <c r="H327" s="35"/>
      <c r="I327" s="8"/>
      <c r="J327" s="81"/>
      <c r="K327" s="82"/>
      <c r="L327" s="7"/>
      <c r="M327" s="7"/>
      <c r="N327" s="119"/>
      <c r="O327" s="117"/>
      <c r="P327" s="117"/>
      <c r="Q327" s="117"/>
      <c r="R327" s="117"/>
      <c r="S327" s="78">
        <f t="shared" si="16"/>
        <v>0</v>
      </c>
      <c r="T327" s="78" t="str">
        <f t="shared" si="17"/>
        <v>C</v>
      </c>
      <c r="U327" s="83" t="str">
        <f t="shared" si="18"/>
        <v/>
      </c>
    </row>
    <row r="328" spans="1:21" s="101" customFormat="1" ht="15.95" customHeight="1" x14ac:dyDescent="0.2">
      <c r="A328" s="118" t="str">
        <f t="shared" si="19"/>
        <v xml:space="preserve"> </v>
      </c>
      <c r="B328" s="79"/>
      <c r="C328" s="80"/>
      <c r="D328" s="80"/>
      <c r="E328" s="8"/>
      <c r="F328" s="8"/>
      <c r="G328" s="15"/>
      <c r="H328" s="35"/>
      <c r="I328" s="8"/>
      <c r="J328" s="81"/>
      <c r="K328" s="82"/>
      <c r="L328" s="7"/>
      <c r="M328" s="7"/>
      <c r="N328" s="119"/>
      <c r="O328" s="117"/>
      <c r="P328" s="117"/>
      <c r="Q328" s="117"/>
      <c r="R328" s="117"/>
      <c r="S328" s="78">
        <f t="shared" si="16"/>
        <v>0</v>
      </c>
      <c r="T328" s="78" t="str">
        <f t="shared" si="17"/>
        <v>C</v>
      </c>
      <c r="U328" s="83" t="str">
        <f t="shared" si="18"/>
        <v/>
      </c>
    </row>
    <row r="329" spans="1:21" s="101" customFormat="1" ht="15.95" customHeight="1" x14ac:dyDescent="0.2">
      <c r="A329" s="118" t="str">
        <f t="shared" si="19"/>
        <v xml:space="preserve"> </v>
      </c>
      <c r="B329" s="79"/>
      <c r="C329" s="80"/>
      <c r="D329" s="80"/>
      <c r="E329" s="8"/>
      <c r="F329" s="8"/>
      <c r="G329" s="15"/>
      <c r="H329" s="35"/>
      <c r="I329" s="8"/>
      <c r="J329" s="81"/>
      <c r="K329" s="82"/>
      <c r="L329" s="7"/>
      <c r="M329" s="7"/>
      <c r="N329" s="119"/>
      <c r="O329" s="117"/>
      <c r="P329" s="117"/>
      <c r="Q329" s="117"/>
      <c r="R329" s="117"/>
      <c r="S329" s="78">
        <f t="shared" si="16"/>
        <v>0</v>
      </c>
      <c r="T329" s="78" t="str">
        <f t="shared" si="17"/>
        <v>C</v>
      </c>
      <c r="U329" s="83" t="str">
        <f t="shared" si="18"/>
        <v/>
      </c>
    </row>
    <row r="330" spans="1:21" s="101" customFormat="1" ht="15.95" customHeight="1" x14ac:dyDescent="0.2">
      <c r="A330" s="118" t="str">
        <f t="shared" si="19"/>
        <v xml:space="preserve"> </v>
      </c>
      <c r="B330" s="79"/>
      <c r="C330" s="80"/>
      <c r="D330" s="80"/>
      <c r="E330" s="8"/>
      <c r="F330" s="8"/>
      <c r="G330" s="15"/>
      <c r="H330" s="35"/>
      <c r="I330" s="8"/>
      <c r="J330" s="81"/>
      <c r="K330" s="82"/>
      <c r="L330" s="7"/>
      <c r="M330" s="7"/>
      <c r="N330" s="119"/>
      <c r="O330" s="117"/>
      <c r="P330" s="117"/>
      <c r="Q330" s="117"/>
      <c r="R330" s="117"/>
      <c r="S330" s="78">
        <f t="shared" si="16"/>
        <v>0</v>
      </c>
      <c r="T330" s="78" t="str">
        <f t="shared" si="17"/>
        <v>C</v>
      </c>
      <c r="U330" s="83" t="str">
        <f t="shared" si="18"/>
        <v/>
      </c>
    </row>
    <row r="331" spans="1:21" s="101" customFormat="1" ht="15.95" customHeight="1" x14ac:dyDescent="0.2">
      <c r="A331" s="118" t="str">
        <f t="shared" si="19"/>
        <v xml:space="preserve"> </v>
      </c>
      <c r="B331" s="79"/>
      <c r="C331" s="80"/>
      <c r="D331" s="80"/>
      <c r="E331" s="8"/>
      <c r="F331" s="8"/>
      <c r="G331" s="15"/>
      <c r="H331" s="35"/>
      <c r="I331" s="8"/>
      <c r="J331" s="81"/>
      <c r="K331" s="82"/>
      <c r="L331" s="7"/>
      <c r="M331" s="7"/>
      <c r="N331" s="119"/>
      <c r="O331" s="117"/>
      <c r="P331" s="117"/>
      <c r="Q331" s="117"/>
      <c r="R331" s="117"/>
      <c r="S331" s="78">
        <f t="shared" si="16"/>
        <v>0</v>
      </c>
      <c r="T331" s="78" t="str">
        <f t="shared" si="17"/>
        <v>C</v>
      </c>
      <c r="U331" s="83" t="str">
        <f t="shared" si="18"/>
        <v/>
      </c>
    </row>
    <row r="332" spans="1:21" s="101" customFormat="1" ht="15.95" customHeight="1" x14ac:dyDescent="0.2">
      <c r="A332" s="118" t="str">
        <f t="shared" si="19"/>
        <v xml:space="preserve"> </v>
      </c>
      <c r="B332" s="79"/>
      <c r="C332" s="80"/>
      <c r="D332" s="80"/>
      <c r="E332" s="8"/>
      <c r="F332" s="8"/>
      <c r="G332" s="15"/>
      <c r="H332" s="35"/>
      <c r="I332" s="8"/>
      <c r="J332" s="81"/>
      <c r="K332" s="82"/>
      <c r="L332" s="7"/>
      <c r="M332" s="7"/>
      <c r="N332" s="119"/>
      <c r="O332" s="117"/>
      <c r="P332" s="117"/>
      <c r="Q332" s="117"/>
      <c r="R332" s="117"/>
      <c r="S332" s="78">
        <f t="shared" si="16"/>
        <v>0</v>
      </c>
      <c r="T332" s="78" t="str">
        <f t="shared" si="17"/>
        <v>C</v>
      </c>
      <c r="U332" s="83" t="str">
        <f t="shared" si="18"/>
        <v/>
      </c>
    </row>
    <row r="333" spans="1:21" s="101" customFormat="1" ht="15.95" customHeight="1" x14ac:dyDescent="0.2">
      <c r="A333" s="118" t="str">
        <f t="shared" si="19"/>
        <v xml:space="preserve"> </v>
      </c>
      <c r="B333" s="79"/>
      <c r="C333" s="80"/>
      <c r="D333" s="80"/>
      <c r="E333" s="8"/>
      <c r="F333" s="8"/>
      <c r="G333" s="15"/>
      <c r="H333" s="35"/>
      <c r="I333" s="8"/>
      <c r="J333" s="81"/>
      <c r="K333" s="82"/>
      <c r="L333" s="7"/>
      <c r="M333" s="7"/>
      <c r="N333" s="119"/>
      <c r="O333" s="117"/>
      <c r="P333" s="117"/>
      <c r="Q333" s="117"/>
      <c r="R333" s="117"/>
      <c r="S333" s="78">
        <f t="shared" si="16"/>
        <v>0</v>
      </c>
      <c r="T333" s="78" t="str">
        <f t="shared" si="17"/>
        <v>C</v>
      </c>
      <c r="U333" s="83" t="str">
        <f t="shared" si="18"/>
        <v/>
      </c>
    </row>
    <row r="334" spans="1:21" s="101" customFormat="1" ht="15.95" customHeight="1" x14ac:dyDescent="0.2">
      <c r="A334" s="118" t="str">
        <f t="shared" si="19"/>
        <v xml:space="preserve"> </v>
      </c>
      <c r="B334" s="79"/>
      <c r="C334" s="80"/>
      <c r="D334" s="80"/>
      <c r="E334" s="8"/>
      <c r="F334" s="8"/>
      <c r="G334" s="15"/>
      <c r="H334" s="35"/>
      <c r="I334" s="8"/>
      <c r="J334" s="81"/>
      <c r="K334" s="82"/>
      <c r="L334" s="7"/>
      <c r="M334" s="7"/>
      <c r="N334" s="119"/>
      <c r="O334" s="117"/>
      <c r="P334" s="117"/>
      <c r="Q334" s="117"/>
      <c r="R334" s="117"/>
      <c r="S334" s="78">
        <f t="shared" si="16"/>
        <v>0</v>
      </c>
      <c r="T334" s="78" t="str">
        <f t="shared" si="17"/>
        <v>C</v>
      </c>
      <c r="U334" s="83" t="str">
        <f t="shared" si="18"/>
        <v/>
      </c>
    </row>
    <row r="335" spans="1:21" s="101" customFormat="1" ht="15.95" customHeight="1" x14ac:dyDescent="0.2">
      <c r="A335" s="118" t="str">
        <f t="shared" si="19"/>
        <v xml:space="preserve"> </v>
      </c>
      <c r="B335" s="79"/>
      <c r="C335" s="80"/>
      <c r="D335" s="80"/>
      <c r="E335" s="8"/>
      <c r="F335" s="8"/>
      <c r="G335" s="15"/>
      <c r="H335" s="35"/>
      <c r="I335" s="8"/>
      <c r="J335" s="81"/>
      <c r="K335" s="82"/>
      <c r="L335" s="7"/>
      <c r="M335" s="7"/>
      <c r="N335" s="119"/>
      <c r="O335" s="117"/>
      <c r="P335" s="117"/>
      <c r="Q335" s="117"/>
      <c r="R335" s="117"/>
      <c r="S335" s="78">
        <f t="shared" si="16"/>
        <v>0</v>
      </c>
      <c r="T335" s="78" t="str">
        <f t="shared" si="17"/>
        <v>C</v>
      </c>
      <c r="U335" s="83" t="str">
        <f t="shared" si="18"/>
        <v/>
      </c>
    </row>
    <row r="336" spans="1:21" s="101" customFormat="1" ht="15.95" customHeight="1" x14ac:dyDescent="0.2">
      <c r="A336" s="118" t="str">
        <f t="shared" si="19"/>
        <v xml:space="preserve"> </v>
      </c>
      <c r="B336" s="79"/>
      <c r="C336" s="80"/>
      <c r="D336" s="80"/>
      <c r="E336" s="8"/>
      <c r="F336" s="8"/>
      <c r="G336" s="15"/>
      <c r="H336" s="35"/>
      <c r="I336" s="8"/>
      <c r="J336" s="81"/>
      <c r="K336" s="82"/>
      <c r="L336" s="7"/>
      <c r="M336" s="7"/>
      <c r="N336" s="119"/>
      <c r="O336" s="117"/>
      <c r="P336" s="117"/>
      <c r="Q336" s="117"/>
      <c r="R336" s="117"/>
      <c r="S336" s="78">
        <f t="shared" ref="S336:S399" si="20">ROUND(ABS(K336),2)*100</f>
        <v>0</v>
      </c>
      <c r="T336" s="78" t="str">
        <f t="shared" ref="T336:T399" si="21">IF(K336&gt;0,"D","C")</f>
        <v>C</v>
      </c>
      <c r="U336" s="83" t="str">
        <f t="shared" ref="U336:U399" si="22">B336&amp;C336&amp;D336&amp;E336&amp;F336&amp;G336&amp;H336&amp;I336&amp;J336&amp;K336&amp;L336&amp;N336</f>
        <v/>
      </c>
    </row>
    <row r="337" spans="1:21" s="101" customFormat="1" ht="15.95" customHeight="1" x14ac:dyDescent="0.2">
      <c r="A337" s="118" t="str">
        <f t="shared" ref="A337:A400" si="23">IF(U337=""," ",A336+1)</f>
        <v xml:space="preserve"> </v>
      </c>
      <c r="B337" s="79"/>
      <c r="C337" s="80"/>
      <c r="D337" s="80"/>
      <c r="E337" s="8"/>
      <c r="F337" s="8"/>
      <c r="G337" s="15"/>
      <c r="H337" s="35"/>
      <c r="I337" s="8"/>
      <c r="J337" s="81"/>
      <c r="K337" s="82"/>
      <c r="L337" s="7"/>
      <c r="M337" s="7"/>
      <c r="N337" s="119"/>
      <c r="O337" s="117"/>
      <c r="P337" s="117"/>
      <c r="Q337" s="117"/>
      <c r="R337" s="117"/>
      <c r="S337" s="78">
        <f t="shared" si="20"/>
        <v>0</v>
      </c>
      <c r="T337" s="78" t="str">
        <f t="shared" si="21"/>
        <v>C</v>
      </c>
      <c r="U337" s="83" t="str">
        <f t="shared" si="22"/>
        <v/>
      </c>
    </row>
    <row r="338" spans="1:21" s="101" customFormat="1" ht="15.95" customHeight="1" x14ac:dyDescent="0.2">
      <c r="A338" s="118" t="str">
        <f t="shared" si="23"/>
        <v xml:space="preserve"> </v>
      </c>
      <c r="B338" s="79"/>
      <c r="C338" s="80"/>
      <c r="D338" s="80"/>
      <c r="E338" s="8"/>
      <c r="F338" s="8"/>
      <c r="G338" s="15"/>
      <c r="H338" s="35"/>
      <c r="I338" s="8"/>
      <c r="J338" s="81"/>
      <c r="K338" s="82"/>
      <c r="L338" s="7"/>
      <c r="M338" s="7"/>
      <c r="N338" s="119"/>
      <c r="O338" s="117"/>
      <c r="P338" s="117"/>
      <c r="Q338" s="117"/>
      <c r="R338" s="117"/>
      <c r="S338" s="78">
        <f t="shared" si="20"/>
        <v>0</v>
      </c>
      <c r="T338" s="78" t="str">
        <f t="shared" si="21"/>
        <v>C</v>
      </c>
      <c r="U338" s="83" t="str">
        <f t="shared" si="22"/>
        <v/>
      </c>
    </row>
    <row r="339" spans="1:21" s="101" customFormat="1" ht="15.95" customHeight="1" x14ac:dyDescent="0.2">
      <c r="A339" s="118" t="str">
        <f t="shared" si="23"/>
        <v xml:space="preserve"> </v>
      </c>
      <c r="B339" s="79"/>
      <c r="C339" s="80"/>
      <c r="D339" s="80"/>
      <c r="E339" s="8"/>
      <c r="F339" s="8"/>
      <c r="G339" s="15"/>
      <c r="H339" s="35"/>
      <c r="I339" s="8"/>
      <c r="J339" s="81"/>
      <c r="K339" s="82"/>
      <c r="L339" s="7"/>
      <c r="M339" s="7"/>
      <c r="N339" s="119"/>
      <c r="O339" s="117"/>
      <c r="P339" s="117"/>
      <c r="Q339" s="117"/>
      <c r="R339" s="117"/>
      <c r="S339" s="78">
        <f t="shared" si="20"/>
        <v>0</v>
      </c>
      <c r="T339" s="78" t="str">
        <f t="shared" si="21"/>
        <v>C</v>
      </c>
      <c r="U339" s="83" t="str">
        <f t="shared" si="22"/>
        <v/>
      </c>
    </row>
    <row r="340" spans="1:21" s="101" customFormat="1" ht="15.95" customHeight="1" x14ac:dyDescent="0.2">
      <c r="A340" s="118" t="str">
        <f t="shared" si="23"/>
        <v xml:space="preserve"> </v>
      </c>
      <c r="B340" s="79"/>
      <c r="C340" s="80"/>
      <c r="D340" s="80"/>
      <c r="E340" s="8"/>
      <c r="F340" s="8"/>
      <c r="G340" s="15"/>
      <c r="H340" s="35"/>
      <c r="I340" s="8"/>
      <c r="J340" s="81"/>
      <c r="K340" s="82"/>
      <c r="L340" s="7"/>
      <c r="M340" s="7"/>
      <c r="N340" s="119"/>
      <c r="O340" s="117"/>
      <c r="P340" s="117"/>
      <c r="Q340" s="117"/>
      <c r="R340" s="117"/>
      <c r="S340" s="78">
        <f t="shared" si="20"/>
        <v>0</v>
      </c>
      <c r="T340" s="78" t="str">
        <f t="shared" si="21"/>
        <v>C</v>
      </c>
      <c r="U340" s="83" t="str">
        <f t="shared" si="22"/>
        <v/>
      </c>
    </row>
    <row r="341" spans="1:21" s="101" customFormat="1" ht="15.95" customHeight="1" x14ac:dyDescent="0.2">
      <c r="A341" s="118" t="str">
        <f t="shared" si="23"/>
        <v xml:space="preserve"> </v>
      </c>
      <c r="B341" s="79"/>
      <c r="C341" s="80"/>
      <c r="D341" s="80"/>
      <c r="E341" s="8"/>
      <c r="F341" s="8"/>
      <c r="G341" s="15"/>
      <c r="H341" s="35"/>
      <c r="I341" s="8"/>
      <c r="J341" s="81"/>
      <c r="K341" s="82"/>
      <c r="L341" s="7"/>
      <c r="M341" s="7"/>
      <c r="N341" s="119"/>
      <c r="O341" s="117"/>
      <c r="P341" s="117"/>
      <c r="Q341" s="117"/>
      <c r="R341" s="117"/>
      <c r="S341" s="78">
        <f t="shared" si="20"/>
        <v>0</v>
      </c>
      <c r="T341" s="78" t="str">
        <f t="shared" si="21"/>
        <v>C</v>
      </c>
      <c r="U341" s="83" t="str">
        <f t="shared" si="22"/>
        <v/>
      </c>
    </row>
    <row r="342" spans="1:21" s="101" customFormat="1" ht="15.95" customHeight="1" x14ac:dyDescent="0.2">
      <c r="A342" s="118" t="str">
        <f t="shared" si="23"/>
        <v xml:space="preserve"> </v>
      </c>
      <c r="B342" s="79"/>
      <c r="C342" s="80"/>
      <c r="D342" s="80"/>
      <c r="E342" s="8"/>
      <c r="F342" s="8"/>
      <c r="G342" s="15"/>
      <c r="H342" s="35"/>
      <c r="I342" s="8"/>
      <c r="J342" s="81"/>
      <c r="K342" s="82"/>
      <c r="L342" s="7"/>
      <c r="M342" s="7"/>
      <c r="N342" s="119"/>
      <c r="O342" s="117"/>
      <c r="P342" s="117"/>
      <c r="Q342" s="117"/>
      <c r="R342" s="117"/>
      <c r="S342" s="78">
        <f t="shared" si="20"/>
        <v>0</v>
      </c>
      <c r="T342" s="78" t="str">
        <f t="shared" si="21"/>
        <v>C</v>
      </c>
      <c r="U342" s="83" t="str">
        <f t="shared" si="22"/>
        <v/>
      </c>
    </row>
    <row r="343" spans="1:21" s="101" customFormat="1" ht="15.95" customHeight="1" x14ac:dyDescent="0.2">
      <c r="A343" s="118" t="str">
        <f t="shared" si="23"/>
        <v xml:space="preserve"> </v>
      </c>
      <c r="B343" s="79"/>
      <c r="C343" s="80"/>
      <c r="D343" s="80"/>
      <c r="E343" s="8"/>
      <c r="F343" s="8"/>
      <c r="G343" s="15"/>
      <c r="H343" s="35"/>
      <c r="I343" s="8"/>
      <c r="J343" s="81"/>
      <c r="K343" s="82"/>
      <c r="L343" s="7"/>
      <c r="M343" s="7"/>
      <c r="N343" s="119"/>
      <c r="O343" s="117"/>
      <c r="P343" s="117"/>
      <c r="Q343" s="117"/>
      <c r="R343" s="117"/>
      <c r="S343" s="78">
        <f t="shared" si="20"/>
        <v>0</v>
      </c>
      <c r="T343" s="78" t="str">
        <f t="shared" si="21"/>
        <v>C</v>
      </c>
      <c r="U343" s="83" t="str">
        <f t="shared" si="22"/>
        <v/>
      </c>
    </row>
    <row r="344" spans="1:21" s="101" customFormat="1" ht="15.95" customHeight="1" x14ac:dyDescent="0.2">
      <c r="A344" s="118" t="str">
        <f t="shared" si="23"/>
        <v xml:space="preserve"> </v>
      </c>
      <c r="B344" s="79"/>
      <c r="C344" s="80"/>
      <c r="D344" s="80"/>
      <c r="E344" s="8"/>
      <c r="F344" s="8"/>
      <c r="G344" s="15"/>
      <c r="H344" s="35"/>
      <c r="I344" s="8"/>
      <c r="J344" s="81"/>
      <c r="K344" s="82"/>
      <c r="L344" s="7"/>
      <c r="M344" s="7"/>
      <c r="N344" s="119"/>
      <c r="O344" s="117"/>
      <c r="P344" s="117"/>
      <c r="Q344" s="117"/>
      <c r="R344" s="117"/>
      <c r="S344" s="78">
        <f t="shared" si="20"/>
        <v>0</v>
      </c>
      <c r="T344" s="78" t="str">
        <f t="shared" si="21"/>
        <v>C</v>
      </c>
      <c r="U344" s="83" t="str">
        <f t="shared" si="22"/>
        <v/>
      </c>
    </row>
    <row r="345" spans="1:21" s="101" customFormat="1" ht="15.95" customHeight="1" x14ac:dyDescent="0.2">
      <c r="A345" s="118" t="str">
        <f t="shared" si="23"/>
        <v xml:space="preserve"> </v>
      </c>
      <c r="B345" s="79"/>
      <c r="C345" s="80"/>
      <c r="D345" s="80"/>
      <c r="E345" s="8"/>
      <c r="F345" s="8"/>
      <c r="G345" s="15"/>
      <c r="H345" s="35"/>
      <c r="I345" s="8"/>
      <c r="J345" s="81"/>
      <c r="K345" s="82"/>
      <c r="L345" s="7"/>
      <c r="M345" s="7"/>
      <c r="N345" s="119"/>
      <c r="O345" s="117"/>
      <c r="P345" s="117"/>
      <c r="Q345" s="117"/>
      <c r="R345" s="117"/>
      <c r="S345" s="78">
        <f t="shared" si="20"/>
        <v>0</v>
      </c>
      <c r="T345" s="78" t="str">
        <f t="shared" si="21"/>
        <v>C</v>
      </c>
      <c r="U345" s="83" t="str">
        <f t="shared" si="22"/>
        <v/>
      </c>
    </row>
    <row r="346" spans="1:21" s="101" customFormat="1" ht="15.95" customHeight="1" x14ac:dyDescent="0.2">
      <c r="A346" s="118" t="str">
        <f t="shared" si="23"/>
        <v xml:space="preserve"> </v>
      </c>
      <c r="B346" s="79"/>
      <c r="C346" s="80"/>
      <c r="D346" s="80"/>
      <c r="E346" s="8"/>
      <c r="F346" s="8"/>
      <c r="G346" s="15"/>
      <c r="H346" s="35"/>
      <c r="I346" s="8"/>
      <c r="J346" s="81"/>
      <c r="K346" s="82"/>
      <c r="L346" s="7"/>
      <c r="M346" s="7"/>
      <c r="N346" s="119"/>
      <c r="O346" s="117"/>
      <c r="P346" s="117"/>
      <c r="Q346" s="117"/>
      <c r="R346" s="117"/>
      <c r="S346" s="78">
        <f t="shared" si="20"/>
        <v>0</v>
      </c>
      <c r="T346" s="78" t="str">
        <f t="shared" si="21"/>
        <v>C</v>
      </c>
      <c r="U346" s="83" t="str">
        <f t="shared" si="22"/>
        <v/>
      </c>
    </row>
    <row r="347" spans="1:21" s="101" customFormat="1" ht="15.95" customHeight="1" x14ac:dyDescent="0.2">
      <c r="A347" s="118" t="str">
        <f t="shared" si="23"/>
        <v xml:space="preserve"> </v>
      </c>
      <c r="B347" s="79"/>
      <c r="C347" s="80"/>
      <c r="D347" s="80"/>
      <c r="E347" s="8"/>
      <c r="F347" s="8"/>
      <c r="G347" s="15"/>
      <c r="H347" s="35"/>
      <c r="I347" s="8"/>
      <c r="J347" s="81"/>
      <c r="K347" s="82"/>
      <c r="L347" s="7"/>
      <c r="M347" s="7"/>
      <c r="N347" s="119"/>
      <c r="O347" s="117"/>
      <c r="P347" s="117"/>
      <c r="Q347" s="117"/>
      <c r="R347" s="117"/>
      <c r="S347" s="78">
        <f t="shared" si="20"/>
        <v>0</v>
      </c>
      <c r="T347" s="78" t="str">
        <f t="shared" si="21"/>
        <v>C</v>
      </c>
      <c r="U347" s="83" t="str">
        <f t="shared" si="22"/>
        <v/>
      </c>
    </row>
    <row r="348" spans="1:21" s="101" customFormat="1" ht="15.95" customHeight="1" x14ac:dyDescent="0.2">
      <c r="A348" s="118" t="str">
        <f t="shared" si="23"/>
        <v xml:space="preserve"> </v>
      </c>
      <c r="B348" s="79"/>
      <c r="C348" s="80"/>
      <c r="D348" s="80"/>
      <c r="E348" s="8"/>
      <c r="F348" s="8"/>
      <c r="G348" s="15"/>
      <c r="H348" s="35"/>
      <c r="I348" s="8"/>
      <c r="J348" s="81"/>
      <c r="K348" s="82"/>
      <c r="L348" s="7"/>
      <c r="M348" s="7"/>
      <c r="N348" s="119"/>
      <c r="O348" s="117"/>
      <c r="P348" s="117"/>
      <c r="Q348" s="117"/>
      <c r="R348" s="117"/>
      <c r="S348" s="78">
        <f t="shared" si="20"/>
        <v>0</v>
      </c>
      <c r="T348" s="78" t="str">
        <f t="shared" si="21"/>
        <v>C</v>
      </c>
      <c r="U348" s="83" t="str">
        <f t="shared" si="22"/>
        <v/>
      </c>
    </row>
    <row r="349" spans="1:21" s="101" customFormat="1" ht="15.95" customHeight="1" x14ac:dyDescent="0.2">
      <c r="A349" s="118" t="str">
        <f t="shared" si="23"/>
        <v xml:space="preserve"> </v>
      </c>
      <c r="B349" s="79"/>
      <c r="C349" s="80"/>
      <c r="D349" s="80"/>
      <c r="E349" s="8"/>
      <c r="F349" s="8"/>
      <c r="G349" s="15"/>
      <c r="H349" s="35"/>
      <c r="I349" s="8"/>
      <c r="J349" s="81"/>
      <c r="K349" s="82"/>
      <c r="L349" s="7"/>
      <c r="M349" s="7"/>
      <c r="N349" s="119"/>
      <c r="O349" s="117"/>
      <c r="P349" s="117"/>
      <c r="Q349" s="117"/>
      <c r="R349" s="117"/>
      <c r="S349" s="78">
        <f t="shared" si="20"/>
        <v>0</v>
      </c>
      <c r="T349" s="78" t="str">
        <f t="shared" si="21"/>
        <v>C</v>
      </c>
      <c r="U349" s="83" t="str">
        <f t="shared" si="22"/>
        <v/>
      </c>
    </row>
    <row r="350" spans="1:21" s="101" customFormat="1" ht="15.95" customHeight="1" x14ac:dyDescent="0.2">
      <c r="A350" s="118" t="str">
        <f t="shared" si="23"/>
        <v xml:space="preserve"> </v>
      </c>
      <c r="B350" s="79"/>
      <c r="C350" s="80"/>
      <c r="D350" s="80"/>
      <c r="E350" s="8"/>
      <c r="F350" s="8"/>
      <c r="G350" s="15"/>
      <c r="H350" s="35"/>
      <c r="I350" s="8"/>
      <c r="J350" s="81"/>
      <c r="K350" s="82"/>
      <c r="L350" s="7"/>
      <c r="M350" s="7"/>
      <c r="N350" s="119"/>
      <c r="O350" s="117"/>
      <c r="P350" s="117"/>
      <c r="Q350" s="117"/>
      <c r="R350" s="117"/>
      <c r="S350" s="78">
        <f t="shared" si="20"/>
        <v>0</v>
      </c>
      <c r="T350" s="78" t="str">
        <f t="shared" si="21"/>
        <v>C</v>
      </c>
      <c r="U350" s="83" t="str">
        <f t="shared" si="22"/>
        <v/>
      </c>
    </row>
    <row r="351" spans="1:21" s="101" customFormat="1" ht="15.95" customHeight="1" x14ac:dyDescent="0.2">
      <c r="A351" s="118" t="str">
        <f t="shared" si="23"/>
        <v xml:space="preserve"> </v>
      </c>
      <c r="B351" s="79"/>
      <c r="C351" s="80"/>
      <c r="D351" s="80"/>
      <c r="E351" s="8"/>
      <c r="F351" s="8"/>
      <c r="G351" s="15"/>
      <c r="H351" s="35"/>
      <c r="I351" s="8"/>
      <c r="J351" s="81"/>
      <c r="K351" s="82"/>
      <c r="L351" s="7"/>
      <c r="M351" s="7"/>
      <c r="N351" s="119"/>
      <c r="O351" s="117"/>
      <c r="P351" s="117"/>
      <c r="Q351" s="117"/>
      <c r="R351" s="117"/>
      <c r="S351" s="78">
        <f t="shared" si="20"/>
        <v>0</v>
      </c>
      <c r="T351" s="78" t="str">
        <f t="shared" si="21"/>
        <v>C</v>
      </c>
      <c r="U351" s="83" t="str">
        <f t="shared" si="22"/>
        <v/>
      </c>
    </row>
    <row r="352" spans="1:21" s="101" customFormat="1" ht="15.95" customHeight="1" x14ac:dyDescent="0.2">
      <c r="A352" s="118" t="str">
        <f t="shared" si="23"/>
        <v xml:space="preserve"> </v>
      </c>
      <c r="B352" s="79"/>
      <c r="C352" s="80"/>
      <c r="D352" s="80"/>
      <c r="E352" s="8"/>
      <c r="F352" s="8"/>
      <c r="G352" s="15"/>
      <c r="H352" s="35"/>
      <c r="I352" s="8"/>
      <c r="J352" s="81"/>
      <c r="K352" s="82"/>
      <c r="L352" s="7"/>
      <c r="M352" s="7"/>
      <c r="N352" s="119"/>
      <c r="O352" s="117"/>
      <c r="P352" s="117"/>
      <c r="Q352" s="117"/>
      <c r="R352" s="117"/>
      <c r="S352" s="78">
        <f t="shared" si="20"/>
        <v>0</v>
      </c>
      <c r="T352" s="78" t="str">
        <f t="shared" si="21"/>
        <v>C</v>
      </c>
      <c r="U352" s="83" t="str">
        <f t="shared" si="22"/>
        <v/>
      </c>
    </row>
    <row r="353" spans="1:21" s="101" customFormat="1" ht="15.95" customHeight="1" x14ac:dyDescent="0.2">
      <c r="A353" s="118" t="str">
        <f t="shared" si="23"/>
        <v xml:space="preserve"> </v>
      </c>
      <c r="B353" s="79"/>
      <c r="C353" s="80"/>
      <c r="D353" s="80"/>
      <c r="E353" s="8"/>
      <c r="F353" s="8"/>
      <c r="G353" s="15"/>
      <c r="H353" s="35"/>
      <c r="I353" s="8"/>
      <c r="J353" s="81"/>
      <c r="K353" s="82"/>
      <c r="L353" s="7"/>
      <c r="M353" s="7"/>
      <c r="N353" s="119"/>
      <c r="O353" s="117"/>
      <c r="P353" s="117"/>
      <c r="Q353" s="117"/>
      <c r="R353" s="117"/>
      <c r="S353" s="78">
        <f t="shared" si="20"/>
        <v>0</v>
      </c>
      <c r="T353" s="78" t="str">
        <f t="shared" si="21"/>
        <v>C</v>
      </c>
      <c r="U353" s="83" t="str">
        <f t="shared" si="22"/>
        <v/>
      </c>
    </row>
    <row r="354" spans="1:21" s="101" customFormat="1" ht="15.95" customHeight="1" x14ac:dyDescent="0.2">
      <c r="A354" s="118" t="str">
        <f t="shared" si="23"/>
        <v xml:space="preserve"> </v>
      </c>
      <c r="B354" s="79"/>
      <c r="C354" s="80"/>
      <c r="D354" s="80"/>
      <c r="E354" s="8"/>
      <c r="F354" s="8"/>
      <c r="G354" s="15"/>
      <c r="H354" s="35"/>
      <c r="I354" s="8"/>
      <c r="J354" s="81"/>
      <c r="K354" s="82"/>
      <c r="L354" s="7"/>
      <c r="M354" s="7"/>
      <c r="N354" s="119"/>
      <c r="O354" s="117"/>
      <c r="P354" s="117"/>
      <c r="Q354" s="117"/>
      <c r="R354" s="117"/>
      <c r="S354" s="78">
        <f t="shared" si="20"/>
        <v>0</v>
      </c>
      <c r="T354" s="78" t="str">
        <f t="shared" si="21"/>
        <v>C</v>
      </c>
      <c r="U354" s="83" t="str">
        <f t="shared" si="22"/>
        <v/>
      </c>
    </row>
    <row r="355" spans="1:21" s="101" customFormat="1" ht="15.95" customHeight="1" x14ac:dyDescent="0.2">
      <c r="A355" s="118" t="str">
        <f t="shared" si="23"/>
        <v xml:space="preserve"> </v>
      </c>
      <c r="B355" s="79"/>
      <c r="C355" s="80"/>
      <c r="D355" s="80"/>
      <c r="E355" s="8"/>
      <c r="F355" s="8"/>
      <c r="G355" s="15"/>
      <c r="H355" s="35"/>
      <c r="I355" s="8"/>
      <c r="J355" s="81"/>
      <c r="K355" s="82"/>
      <c r="L355" s="7"/>
      <c r="M355" s="7"/>
      <c r="N355" s="119"/>
      <c r="O355" s="117"/>
      <c r="P355" s="117"/>
      <c r="Q355" s="117"/>
      <c r="R355" s="117"/>
      <c r="S355" s="78">
        <f t="shared" si="20"/>
        <v>0</v>
      </c>
      <c r="T355" s="78" t="str">
        <f t="shared" si="21"/>
        <v>C</v>
      </c>
      <c r="U355" s="83" t="str">
        <f t="shared" si="22"/>
        <v/>
      </c>
    </row>
    <row r="356" spans="1:21" s="101" customFormat="1" ht="15.95" customHeight="1" x14ac:dyDescent="0.2">
      <c r="A356" s="118" t="str">
        <f t="shared" si="23"/>
        <v xml:space="preserve"> </v>
      </c>
      <c r="B356" s="79"/>
      <c r="C356" s="80"/>
      <c r="D356" s="80"/>
      <c r="E356" s="8"/>
      <c r="F356" s="8"/>
      <c r="G356" s="15"/>
      <c r="H356" s="35"/>
      <c r="I356" s="8"/>
      <c r="J356" s="81"/>
      <c r="K356" s="82"/>
      <c r="L356" s="7"/>
      <c r="M356" s="7"/>
      <c r="N356" s="119"/>
      <c r="O356" s="117"/>
      <c r="P356" s="117"/>
      <c r="Q356" s="117"/>
      <c r="R356" s="117"/>
      <c r="S356" s="78">
        <f t="shared" si="20"/>
        <v>0</v>
      </c>
      <c r="T356" s="78" t="str">
        <f t="shared" si="21"/>
        <v>C</v>
      </c>
      <c r="U356" s="83" t="str">
        <f t="shared" si="22"/>
        <v/>
      </c>
    </row>
    <row r="357" spans="1:21" s="101" customFormat="1" ht="15.95" customHeight="1" x14ac:dyDescent="0.2">
      <c r="A357" s="118" t="str">
        <f t="shared" si="23"/>
        <v xml:space="preserve"> </v>
      </c>
      <c r="B357" s="79"/>
      <c r="C357" s="80"/>
      <c r="D357" s="80"/>
      <c r="E357" s="8"/>
      <c r="F357" s="8"/>
      <c r="G357" s="15"/>
      <c r="H357" s="35"/>
      <c r="I357" s="8"/>
      <c r="J357" s="81"/>
      <c r="K357" s="82"/>
      <c r="L357" s="7"/>
      <c r="M357" s="7"/>
      <c r="N357" s="119"/>
      <c r="O357" s="117"/>
      <c r="P357" s="117"/>
      <c r="Q357" s="117"/>
      <c r="R357" s="117"/>
      <c r="S357" s="78">
        <f t="shared" si="20"/>
        <v>0</v>
      </c>
      <c r="T357" s="78" t="str">
        <f t="shared" si="21"/>
        <v>C</v>
      </c>
      <c r="U357" s="83" t="str">
        <f t="shared" si="22"/>
        <v/>
      </c>
    </row>
    <row r="358" spans="1:21" s="101" customFormat="1" ht="15.95" customHeight="1" x14ac:dyDescent="0.2">
      <c r="A358" s="118" t="str">
        <f t="shared" si="23"/>
        <v xml:space="preserve"> </v>
      </c>
      <c r="B358" s="79"/>
      <c r="C358" s="80"/>
      <c r="D358" s="80"/>
      <c r="E358" s="8"/>
      <c r="F358" s="8"/>
      <c r="G358" s="15"/>
      <c r="H358" s="35"/>
      <c r="I358" s="8"/>
      <c r="J358" s="81"/>
      <c r="K358" s="82"/>
      <c r="L358" s="7"/>
      <c r="M358" s="7"/>
      <c r="N358" s="119"/>
      <c r="O358" s="117"/>
      <c r="P358" s="117"/>
      <c r="Q358" s="117"/>
      <c r="R358" s="117"/>
      <c r="S358" s="78">
        <f t="shared" si="20"/>
        <v>0</v>
      </c>
      <c r="T358" s="78" t="str">
        <f t="shared" si="21"/>
        <v>C</v>
      </c>
      <c r="U358" s="83" t="str">
        <f t="shared" si="22"/>
        <v/>
      </c>
    </row>
    <row r="359" spans="1:21" s="101" customFormat="1" ht="15.95" customHeight="1" x14ac:dyDescent="0.2">
      <c r="A359" s="118" t="str">
        <f t="shared" si="23"/>
        <v xml:space="preserve"> </v>
      </c>
      <c r="B359" s="79"/>
      <c r="C359" s="80"/>
      <c r="D359" s="80"/>
      <c r="E359" s="8"/>
      <c r="F359" s="8"/>
      <c r="G359" s="15"/>
      <c r="H359" s="35"/>
      <c r="I359" s="8"/>
      <c r="J359" s="81"/>
      <c r="K359" s="82"/>
      <c r="L359" s="7"/>
      <c r="M359" s="7"/>
      <c r="N359" s="119"/>
      <c r="O359" s="117"/>
      <c r="P359" s="117"/>
      <c r="Q359" s="117"/>
      <c r="R359" s="117"/>
      <c r="S359" s="78">
        <f t="shared" si="20"/>
        <v>0</v>
      </c>
      <c r="T359" s="78" t="str">
        <f t="shared" si="21"/>
        <v>C</v>
      </c>
      <c r="U359" s="83" t="str">
        <f t="shared" si="22"/>
        <v/>
      </c>
    </row>
    <row r="360" spans="1:21" s="101" customFormat="1" ht="15.95" customHeight="1" x14ac:dyDescent="0.2">
      <c r="A360" s="118" t="str">
        <f t="shared" si="23"/>
        <v xml:space="preserve"> </v>
      </c>
      <c r="B360" s="79"/>
      <c r="C360" s="80"/>
      <c r="D360" s="80"/>
      <c r="E360" s="8"/>
      <c r="F360" s="8"/>
      <c r="G360" s="15"/>
      <c r="H360" s="35"/>
      <c r="I360" s="8"/>
      <c r="J360" s="81"/>
      <c r="K360" s="82"/>
      <c r="L360" s="7"/>
      <c r="M360" s="7"/>
      <c r="N360" s="119"/>
      <c r="O360" s="117"/>
      <c r="P360" s="117"/>
      <c r="Q360" s="117"/>
      <c r="R360" s="117"/>
      <c r="S360" s="78">
        <f t="shared" si="20"/>
        <v>0</v>
      </c>
      <c r="T360" s="78" t="str">
        <f t="shared" si="21"/>
        <v>C</v>
      </c>
      <c r="U360" s="83" t="str">
        <f t="shared" si="22"/>
        <v/>
      </c>
    </row>
    <row r="361" spans="1:21" s="101" customFormat="1" ht="15.95" customHeight="1" x14ac:dyDescent="0.2">
      <c r="A361" s="118" t="str">
        <f t="shared" si="23"/>
        <v xml:space="preserve"> </v>
      </c>
      <c r="B361" s="79"/>
      <c r="C361" s="80"/>
      <c r="D361" s="80"/>
      <c r="E361" s="8"/>
      <c r="F361" s="8"/>
      <c r="G361" s="15"/>
      <c r="H361" s="35"/>
      <c r="I361" s="8"/>
      <c r="J361" s="81"/>
      <c r="K361" s="82"/>
      <c r="L361" s="7"/>
      <c r="M361" s="7"/>
      <c r="N361" s="119"/>
      <c r="O361" s="117"/>
      <c r="P361" s="117"/>
      <c r="Q361" s="117"/>
      <c r="R361" s="117"/>
      <c r="S361" s="78">
        <f t="shared" si="20"/>
        <v>0</v>
      </c>
      <c r="T361" s="78" t="str">
        <f t="shared" si="21"/>
        <v>C</v>
      </c>
      <c r="U361" s="83" t="str">
        <f t="shared" si="22"/>
        <v/>
      </c>
    </row>
    <row r="362" spans="1:21" s="101" customFormat="1" ht="15.95" customHeight="1" x14ac:dyDescent="0.2">
      <c r="A362" s="118" t="str">
        <f t="shared" si="23"/>
        <v xml:space="preserve"> </v>
      </c>
      <c r="B362" s="79"/>
      <c r="C362" s="80"/>
      <c r="D362" s="80"/>
      <c r="E362" s="8"/>
      <c r="F362" s="8"/>
      <c r="G362" s="15"/>
      <c r="H362" s="35"/>
      <c r="I362" s="8"/>
      <c r="J362" s="81"/>
      <c r="K362" s="82"/>
      <c r="L362" s="7"/>
      <c r="M362" s="7"/>
      <c r="N362" s="119"/>
      <c r="O362" s="117"/>
      <c r="P362" s="117"/>
      <c r="Q362" s="117"/>
      <c r="R362" s="117"/>
      <c r="S362" s="78">
        <f t="shared" si="20"/>
        <v>0</v>
      </c>
      <c r="T362" s="78" t="str">
        <f t="shared" si="21"/>
        <v>C</v>
      </c>
      <c r="U362" s="83" t="str">
        <f t="shared" si="22"/>
        <v/>
      </c>
    </row>
    <row r="363" spans="1:21" s="101" customFormat="1" ht="15.95" customHeight="1" x14ac:dyDescent="0.2">
      <c r="A363" s="118" t="str">
        <f t="shared" si="23"/>
        <v xml:space="preserve"> </v>
      </c>
      <c r="B363" s="79"/>
      <c r="C363" s="80"/>
      <c r="D363" s="80"/>
      <c r="E363" s="8"/>
      <c r="F363" s="8"/>
      <c r="G363" s="15"/>
      <c r="H363" s="35"/>
      <c r="I363" s="8"/>
      <c r="J363" s="81"/>
      <c r="K363" s="82"/>
      <c r="L363" s="7"/>
      <c r="M363" s="7"/>
      <c r="N363" s="119"/>
      <c r="O363" s="117"/>
      <c r="P363" s="117"/>
      <c r="Q363" s="117"/>
      <c r="R363" s="117"/>
      <c r="S363" s="78">
        <f t="shared" si="20"/>
        <v>0</v>
      </c>
      <c r="T363" s="78" t="str">
        <f t="shared" si="21"/>
        <v>C</v>
      </c>
      <c r="U363" s="83" t="str">
        <f t="shared" si="22"/>
        <v/>
      </c>
    </row>
    <row r="364" spans="1:21" s="101" customFormat="1" ht="15.95" customHeight="1" x14ac:dyDescent="0.2">
      <c r="A364" s="118" t="str">
        <f t="shared" si="23"/>
        <v xml:space="preserve"> </v>
      </c>
      <c r="B364" s="79"/>
      <c r="C364" s="80"/>
      <c r="D364" s="80"/>
      <c r="E364" s="8"/>
      <c r="F364" s="8"/>
      <c r="G364" s="15"/>
      <c r="H364" s="35"/>
      <c r="I364" s="8"/>
      <c r="J364" s="81"/>
      <c r="K364" s="82"/>
      <c r="L364" s="7"/>
      <c r="M364" s="7"/>
      <c r="N364" s="119"/>
      <c r="O364" s="117"/>
      <c r="P364" s="117"/>
      <c r="Q364" s="117"/>
      <c r="R364" s="117"/>
      <c r="S364" s="78">
        <f t="shared" si="20"/>
        <v>0</v>
      </c>
      <c r="T364" s="78" t="str">
        <f t="shared" si="21"/>
        <v>C</v>
      </c>
      <c r="U364" s="83" t="str">
        <f t="shared" si="22"/>
        <v/>
      </c>
    </row>
    <row r="365" spans="1:21" s="101" customFormat="1" ht="15.95" customHeight="1" x14ac:dyDescent="0.2">
      <c r="A365" s="118" t="str">
        <f t="shared" si="23"/>
        <v xml:space="preserve"> </v>
      </c>
      <c r="B365" s="79"/>
      <c r="C365" s="80"/>
      <c r="D365" s="80"/>
      <c r="E365" s="8"/>
      <c r="F365" s="8"/>
      <c r="G365" s="15"/>
      <c r="H365" s="35"/>
      <c r="I365" s="8"/>
      <c r="J365" s="81"/>
      <c r="K365" s="82"/>
      <c r="L365" s="7"/>
      <c r="M365" s="7"/>
      <c r="N365" s="119"/>
      <c r="O365" s="117"/>
      <c r="P365" s="117"/>
      <c r="Q365" s="117"/>
      <c r="R365" s="117"/>
      <c r="S365" s="78">
        <f t="shared" si="20"/>
        <v>0</v>
      </c>
      <c r="T365" s="78" t="str">
        <f t="shared" si="21"/>
        <v>C</v>
      </c>
      <c r="U365" s="83" t="str">
        <f t="shared" si="22"/>
        <v/>
      </c>
    </row>
    <row r="366" spans="1:21" s="101" customFormat="1" ht="15.95" customHeight="1" x14ac:dyDescent="0.2">
      <c r="A366" s="118" t="str">
        <f t="shared" si="23"/>
        <v xml:space="preserve"> </v>
      </c>
      <c r="B366" s="79"/>
      <c r="C366" s="80"/>
      <c r="D366" s="80"/>
      <c r="E366" s="8"/>
      <c r="F366" s="8"/>
      <c r="G366" s="15"/>
      <c r="H366" s="35"/>
      <c r="I366" s="8"/>
      <c r="J366" s="81"/>
      <c r="K366" s="82"/>
      <c r="L366" s="7"/>
      <c r="M366" s="7"/>
      <c r="N366" s="119"/>
      <c r="O366" s="117"/>
      <c r="P366" s="117"/>
      <c r="Q366" s="117"/>
      <c r="R366" s="117"/>
      <c r="S366" s="78">
        <f t="shared" si="20"/>
        <v>0</v>
      </c>
      <c r="T366" s="78" t="str">
        <f t="shared" si="21"/>
        <v>C</v>
      </c>
      <c r="U366" s="83" t="str">
        <f t="shared" si="22"/>
        <v/>
      </c>
    </row>
    <row r="367" spans="1:21" s="101" customFormat="1" ht="15.95" customHeight="1" x14ac:dyDescent="0.2">
      <c r="A367" s="118" t="str">
        <f t="shared" si="23"/>
        <v xml:space="preserve"> </v>
      </c>
      <c r="B367" s="79"/>
      <c r="C367" s="80"/>
      <c r="D367" s="80"/>
      <c r="E367" s="8"/>
      <c r="F367" s="8"/>
      <c r="G367" s="15"/>
      <c r="H367" s="35"/>
      <c r="I367" s="8"/>
      <c r="J367" s="81"/>
      <c r="K367" s="82"/>
      <c r="L367" s="7"/>
      <c r="M367" s="7"/>
      <c r="N367" s="119"/>
      <c r="O367" s="117"/>
      <c r="P367" s="117"/>
      <c r="Q367" s="117"/>
      <c r="R367" s="117"/>
      <c r="S367" s="78">
        <f t="shared" si="20"/>
        <v>0</v>
      </c>
      <c r="T367" s="78" t="str">
        <f t="shared" si="21"/>
        <v>C</v>
      </c>
      <c r="U367" s="83" t="str">
        <f t="shared" si="22"/>
        <v/>
      </c>
    </row>
    <row r="368" spans="1:21" s="101" customFormat="1" ht="15.95" customHeight="1" x14ac:dyDescent="0.2">
      <c r="A368" s="118" t="str">
        <f t="shared" si="23"/>
        <v xml:space="preserve"> </v>
      </c>
      <c r="B368" s="79"/>
      <c r="C368" s="80"/>
      <c r="D368" s="80"/>
      <c r="E368" s="8"/>
      <c r="F368" s="8"/>
      <c r="G368" s="15"/>
      <c r="H368" s="35"/>
      <c r="I368" s="8"/>
      <c r="J368" s="81"/>
      <c r="K368" s="82"/>
      <c r="L368" s="7"/>
      <c r="M368" s="7"/>
      <c r="N368" s="119"/>
      <c r="O368" s="117"/>
      <c r="P368" s="117"/>
      <c r="Q368" s="117"/>
      <c r="R368" s="117"/>
      <c r="S368" s="78">
        <f t="shared" si="20"/>
        <v>0</v>
      </c>
      <c r="T368" s="78" t="str">
        <f t="shared" si="21"/>
        <v>C</v>
      </c>
      <c r="U368" s="83" t="str">
        <f t="shared" si="22"/>
        <v/>
      </c>
    </row>
    <row r="369" spans="1:21" s="101" customFormat="1" ht="15.95" customHeight="1" x14ac:dyDescent="0.2">
      <c r="A369" s="118" t="str">
        <f t="shared" si="23"/>
        <v xml:space="preserve"> </v>
      </c>
      <c r="B369" s="79"/>
      <c r="C369" s="80"/>
      <c r="D369" s="80"/>
      <c r="E369" s="8"/>
      <c r="F369" s="8"/>
      <c r="G369" s="15"/>
      <c r="H369" s="35"/>
      <c r="I369" s="8"/>
      <c r="J369" s="81"/>
      <c r="K369" s="82"/>
      <c r="L369" s="7"/>
      <c r="M369" s="7"/>
      <c r="N369" s="119"/>
      <c r="O369" s="117"/>
      <c r="P369" s="117"/>
      <c r="Q369" s="117"/>
      <c r="R369" s="117"/>
      <c r="S369" s="78">
        <f t="shared" si="20"/>
        <v>0</v>
      </c>
      <c r="T369" s="78" t="str">
        <f t="shared" si="21"/>
        <v>C</v>
      </c>
      <c r="U369" s="83" t="str">
        <f t="shared" si="22"/>
        <v/>
      </c>
    </row>
    <row r="370" spans="1:21" s="101" customFormat="1" ht="15.95" customHeight="1" x14ac:dyDescent="0.2">
      <c r="A370" s="118" t="str">
        <f t="shared" si="23"/>
        <v xml:space="preserve"> </v>
      </c>
      <c r="B370" s="79"/>
      <c r="C370" s="80"/>
      <c r="D370" s="80"/>
      <c r="E370" s="8"/>
      <c r="F370" s="8"/>
      <c r="G370" s="15"/>
      <c r="H370" s="35"/>
      <c r="I370" s="8"/>
      <c r="J370" s="81"/>
      <c r="K370" s="82"/>
      <c r="L370" s="7"/>
      <c r="M370" s="7"/>
      <c r="N370" s="119"/>
      <c r="O370" s="117"/>
      <c r="P370" s="117"/>
      <c r="Q370" s="117"/>
      <c r="R370" s="117"/>
      <c r="S370" s="78">
        <f t="shared" si="20"/>
        <v>0</v>
      </c>
      <c r="T370" s="78" t="str">
        <f t="shared" si="21"/>
        <v>C</v>
      </c>
      <c r="U370" s="83" t="str">
        <f t="shared" si="22"/>
        <v/>
      </c>
    </row>
    <row r="371" spans="1:21" s="101" customFormat="1" ht="15.95" customHeight="1" x14ac:dyDescent="0.2">
      <c r="A371" s="118" t="str">
        <f t="shared" si="23"/>
        <v xml:space="preserve"> </v>
      </c>
      <c r="B371" s="79"/>
      <c r="C371" s="80"/>
      <c r="D371" s="80"/>
      <c r="E371" s="8"/>
      <c r="F371" s="8"/>
      <c r="G371" s="15"/>
      <c r="H371" s="35"/>
      <c r="I371" s="8"/>
      <c r="J371" s="81"/>
      <c r="K371" s="82"/>
      <c r="L371" s="7"/>
      <c r="M371" s="7"/>
      <c r="N371" s="119"/>
      <c r="O371" s="117"/>
      <c r="P371" s="117"/>
      <c r="Q371" s="117"/>
      <c r="R371" s="117"/>
      <c r="S371" s="78">
        <f t="shared" si="20"/>
        <v>0</v>
      </c>
      <c r="T371" s="78" t="str">
        <f t="shared" si="21"/>
        <v>C</v>
      </c>
      <c r="U371" s="83" t="str">
        <f t="shared" si="22"/>
        <v/>
      </c>
    </row>
    <row r="372" spans="1:21" s="101" customFormat="1" ht="15.95" customHeight="1" x14ac:dyDescent="0.2">
      <c r="A372" s="118" t="str">
        <f t="shared" si="23"/>
        <v xml:space="preserve"> </v>
      </c>
      <c r="B372" s="79"/>
      <c r="C372" s="80"/>
      <c r="D372" s="80"/>
      <c r="E372" s="8"/>
      <c r="F372" s="8"/>
      <c r="G372" s="15"/>
      <c r="H372" s="35"/>
      <c r="I372" s="8"/>
      <c r="J372" s="81"/>
      <c r="K372" s="82"/>
      <c r="L372" s="7"/>
      <c r="M372" s="7"/>
      <c r="N372" s="119"/>
      <c r="O372" s="117"/>
      <c r="P372" s="117"/>
      <c r="Q372" s="117"/>
      <c r="R372" s="117"/>
      <c r="S372" s="78">
        <f t="shared" si="20"/>
        <v>0</v>
      </c>
      <c r="T372" s="78" t="str">
        <f t="shared" si="21"/>
        <v>C</v>
      </c>
      <c r="U372" s="83" t="str">
        <f t="shared" si="22"/>
        <v/>
      </c>
    </row>
    <row r="373" spans="1:21" s="101" customFormat="1" ht="15.95" customHeight="1" x14ac:dyDescent="0.2">
      <c r="A373" s="118" t="str">
        <f t="shared" si="23"/>
        <v xml:space="preserve"> </v>
      </c>
      <c r="B373" s="79"/>
      <c r="C373" s="80"/>
      <c r="D373" s="80"/>
      <c r="E373" s="8"/>
      <c r="F373" s="8"/>
      <c r="G373" s="15"/>
      <c r="H373" s="35"/>
      <c r="I373" s="8"/>
      <c r="J373" s="81"/>
      <c r="K373" s="82"/>
      <c r="L373" s="7"/>
      <c r="M373" s="7"/>
      <c r="N373" s="119"/>
      <c r="O373" s="117"/>
      <c r="P373" s="117"/>
      <c r="Q373" s="117"/>
      <c r="R373" s="117"/>
      <c r="S373" s="78">
        <f t="shared" si="20"/>
        <v>0</v>
      </c>
      <c r="T373" s="78" t="str">
        <f t="shared" si="21"/>
        <v>C</v>
      </c>
      <c r="U373" s="83" t="str">
        <f t="shared" si="22"/>
        <v/>
      </c>
    </row>
    <row r="374" spans="1:21" s="101" customFormat="1" ht="15.95" customHeight="1" x14ac:dyDescent="0.2">
      <c r="A374" s="118" t="str">
        <f t="shared" si="23"/>
        <v xml:space="preserve"> </v>
      </c>
      <c r="B374" s="79"/>
      <c r="C374" s="80"/>
      <c r="D374" s="80"/>
      <c r="E374" s="8"/>
      <c r="F374" s="8"/>
      <c r="G374" s="15"/>
      <c r="H374" s="35"/>
      <c r="I374" s="8"/>
      <c r="J374" s="81"/>
      <c r="K374" s="82"/>
      <c r="L374" s="7"/>
      <c r="M374" s="7"/>
      <c r="N374" s="119"/>
      <c r="O374" s="117"/>
      <c r="P374" s="117"/>
      <c r="Q374" s="117"/>
      <c r="R374" s="117"/>
      <c r="S374" s="78">
        <f t="shared" si="20"/>
        <v>0</v>
      </c>
      <c r="T374" s="78" t="str">
        <f t="shared" si="21"/>
        <v>C</v>
      </c>
      <c r="U374" s="83" t="str">
        <f t="shared" si="22"/>
        <v/>
      </c>
    </row>
    <row r="375" spans="1:21" s="101" customFormat="1" ht="15.95" customHeight="1" x14ac:dyDescent="0.2">
      <c r="A375" s="118" t="str">
        <f t="shared" si="23"/>
        <v xml:space="preserve"> </v>
      </c>
      <c r="B375" s="79"/>
      <c r="C375" s="80"/>
      <c r="D375" s="80"/>
      <c r="E375" s="8"/>
      <c r="F375" s="8"/>
      <c r="G375" s="15"/>
      <c r="H375" s="35"/>
      <c r="I375" s="8"/>
      <c r="J375" s="81"/>
      <c r="K375" s="82"/>
      <c r="L375" s="7"/>
      <c r="M375" s="7"/>
      <c r="N375" s="119"/>
      <c r="O375" s="117"/>
      <c r="P375" s="117"/>
      <c r="Q375" s="117"/>
      <c r="R375" s="117"/>
      <c r="S375" s="78">
        <f t="shared" si="20"/>
        <v>0</v>
      </c>
      <c r="T375" s="78" t="str">
        <f t="shared" si="21"/>
        <v>C</v>
      </c>
      <c r="U375" s="83" t="str">
        <f t="shared" si="22"/>
        <v/>
      </c>
    </row>
    <row r="376" spans="1:21" s="101" customFormat="1" ht="15.95" customHeight="1" x14ac:dyDescent="0.2">
      <c r="A376" s="118" t="str">
        <f t="shared" si="23"/>
        <v xml:space="preserve"> </v>
      </c>
      <c r="B376" s="79"/>
      <c r="C376" s="80"/>
      <c r="D376" s="80"/>
      <c r="E376" s="8"/>
      <c r="F376" s="8"/>
      <c r="G376" s="15"/>
      <c r="H376" s="35"/>
      <c r="I376" s="8"/>
      <c r="J376" s="81"/>
      <c r="K376" s="82"/>
      <c r="L376" s="7"/>
      <c r="M376" s="7"/>
      <c r="N376" s="119"/>
      <c r="O376" s="117"/>
      <c r="P376" s="117"/>
      <c r="Q376" s="117"/>
      <c r="R376" s="117"/>
      <c r="S376" s="78">
        <f t="shared" si="20"/>
        <v>0</v>
      </c>
      <c r="T376" s="78" t="str">
        <f t="shared" si="21"/>
        <v>C</v>
      </c>
      <c r="U376" s="83" t="str">
        <f t="shared" si="22"/>
        <v/>
      </c>
    </row>
    <row r="377" spans="1:21" s="101" customFormat="1" ht="15.95" customHeight="1" x14ac:dyDescent="0.2">
      <c r="A377" s="118" t="str">
        <f t="shared" si="23"/>
        <v xml:space="preserve"> </v>
      </c>
      <c r="B377" s="79"/>
      <c r="C377" s="80"/>
      <c r="D377" s="80"/>
      <c r="E377" s="8"/>
      <c r="F377" s="8"/>
      <c r="G377" s="15"/>
      <c r="H377" s="35"/>
      <c r="I377" s="8"/>
      <c r="J377" s="81"/>
      <c r="K377" s="82"/>
      <c r="L377" s="7"/>
      <c r="M377" s="7"/>
      <c r="N377" s="119"/>
      <c r="O377" s="117"/>
      <c r="P377" s="117"/>
      <c r="Q377" s="117"/>
      <c r="R377" s="117"/>
      <c r="S377" s="78">
        <f t="shared" si="20"/>
        <v>0</v>
      </c>
      <c r="T377" s="78" t="str">
        <f t="shared" si="21"/>
        <v>C</v>
      </c>
      <c r="U377" s="83" t="str">
        <f t="shared" si="22"/>
        <v/>
      </c>
    </row>
    <row r="378" spans="1:21" s="101" customFormat="1" ht="15.95" customHeight="1" x14ac:dyDescent="0.2">
      <c r="A378" s="118" t="str">
        <f t="shared" si="23"/>
        <v xml:space="preserve"> </v>
      </c>
      <c r="B378" s="79"/>
      <c r="C378" s="80"/>
      <c r="D378" s="80"/>
      <c r="E378" s="8"/>
      <c r="F378" s="8"/>
      <c r="G378" s="15"/>
      <c r="H378" s="35"/>
      <c r="I378" s="8"/>
      <c r="J378" s="81"/>
      <c r="K378" s="82"/>
      <c r="L378" s="7"/>
      <c r="M378" s="7"/>
      <c r="N378" s="119"/>
      <c r="O378" s="117"/>
      <c r="P378" s="117"/>
      <c r="Q378" s="117"/>
      <c r="R378" s="117"/>
      <c r="S378" s="78">
        <f t="shared" si="20"/>
        <v>0</v>
      </c>
      <c r="T378" s="78" t="str">
        <f t="shared" si="21"/>
        <v>C</v>
      </c>
      <c r="U378" s="83" t="str">
        <f t="shared" si="22"/>
        <v/>
      </c>
    </row>
    <row r="379" spans="1:21" s="101" customFormat="1" ht="15.95" customHeight="1" x14ac:dyDescent="0.2">
      <c r="A379" s="118" t="str">
        <f t="shared" si="23"/>
        <v xml:space="preserve"> </v>
      </c>
      <c r="B379" s="79"/>
      <c r="C379" s="80"/>
      <c r="D379" s="80"/>
      <c r="E379" s="8"/>
      <c r="F379" s="8"/>
      <c r="G379" s="15"/>
      <c r="H379" s="35"/>
      <c r="I379" s="8"/>
      <c r="J379" s="81"/>
      <c r="K379" s="82"/>
      <c r="L379" s="7"/>
      <c r="M379" s="7"/>
      <c r="N379" s="119"/>
      <c r="O379" s="117"/>
      <c r="P379" s="117"/>
      <c r="Q379" s="117"/>
      <c r="R379" s="117"/>
      <c r="S379" s="78">
        <f t="shared" si="20"/>
        <v>0</v>
      </c>
      <c r="T379" s="78" t="str">
        <f t="shared" si="21"/>
        <v>C</v>
      </c>
      <c r="U379" s="83" t="str">
        <f t="shared" si="22"/>
        <v/>
      </c>
    </row>
    <row r="380" spans="1:21" s="101" customFormat="1" ht="15.95" customHeight="1" x14ac:dyDescent="0.2">
      <c r="A380" s="118" t="str">
        <f t="shared" si="23"/>
        <v xml:space="preserve"> </v>
      </c>
      <c r="B380" s="79"/>
      <c r="C380" s="80"/>
      <c r="D380" s="80"/>
      <c r="E380" s="8"/>
      <c r="F380" s="8"/>
      <c r="G380" s="15"/>
      <c r="H380" s="35"/>
      <c r="I380" s="8"/>
      <c r="J380" s="81"/>
      <c r="K380" s="82"/>
      <c r="L380" s="7"/>
      <c r="M380" s="7"/>
      <c r="N380" s="119"/>
      <c r="O380" s="117"/>
      <c r="P380" s="117"/>
      <c r="Q380" s="117"/>
      <c r="R380" s="117"/>
      <c r="S380" s="78">
        <f t="shared" si="20"/>
        <v>0</v>
      </c>
      <c r="T380" s="78" t="str">
        <f t="shared" si="21"/>
        <v>C</v>
      </c>
      <c r="U380" s="83" t="str">
        <f t="shared" si="22"/>
        <v/>
      </c>
    </row>
    <row r="381" spans="1:21" s="101" customFormat="1" ht="15.95" customHeight="1" x14ac:dyDescent="0.2">
      <c r="A381" s="118" t="str">
        <f t="shared" si="23"/>
        <v xml:space="preserve"> </v>
      </c>
      <c r="B381" s="79"/>
      <c r="C381" s="80"/>
      <c r="D381" s="80"/>
      <c r="E381" s="8"/>
      <c r="F381" s="8"/>
      <c r="G381" s="15"/>
      <c r="H381" s="35"/>
      <c r="I381" s="8"/>
      <c r="J381" s="81"/>
      <c r="K381" s="82"/>
      <c r="L381" s="7"/>
      <c r="M381" s="7"/>
      <c r="N381" s="119"/>
      <c r="O381" s="117"/>
      <c r="P381" s="117"/>
      <c r="Q381" s="117"/>
      <c r="R381" s="117"/>
      <c r="S381" s="78">
        <f t="shared" si="20"/>
        <v>0</v>
      </c>
      <c r="T381" s="78" t="str">
        <f t="shared" si="21"/>
        <v>C</v>
      </c>
      <c r="U381" s="83" t="str">
        <f t="shared" si="22"/>
        <v/>
      </c>
    </row>
    <row r="382" spans="1:21" s="101" customFormat="1" ht="15.95" customHeight="1" x14ac:dyDescent="0.2">
      <c r="A382" s="118" t="str">
        <f t="shared" si="23"/>
        <v xml:space="preserve"> </v>
      </c>
      <c r="B382" s="79"/>
      <c r="C382" s="80"/>
      <c r="D382" s="80"/>
      <c r="E382" s="8"/>
      <c r="F382" s="8"/>
      <c r="G382" s="15"/>
      <c r="H382" s="35"/>
      <c r="I382" s="8"/>
      <c r="J382" s="81"/>
      <c r="K382" s="82"/>
      <c r="L382" s="7"/>
      <c r="M382" s="7"/>
      <c r="N382" s="119"/>
      <c r="O382" s="117"/>
      <c r="P382" s="117"/>
      <c r="Q382" s="117"/>
      <c r="R382" s="117"/>
      <c r="S382" s="78">
        <f t="shared" si="20"/>
        <v>0</v>
      </c>
      <c r="T382" s="78" t="str">
        <f t="shared" si="21"/>
        <v>C</v>
      </c>
      <c r="U382" s="83" t="str">
        <f t="shared" si="22"/>
        <v/>
      </c>
    </row>
    <row r="383" spans="1:21" s="101" customFormat="1" ht="15.95" customHeight="1" x14ac:dyDescent="0.2">
      <c r="A383" s="118" t="str">
        <f t="shared" si="23"/>
        <v xml:space="preserve"> </v>
      </c>
      <c r="B383" s="79"/>
      <c r="C383" s="80"/>
      <c r="D383" s="80"/>
      <c r="E383" s="8"/>
      <c r="F383" s="8"/>
      <c r="G383" s="15"/>
      <c r="H383" s="35"/>
      <c r="I383" s="8"/>
      <c r="J383" s="81"/>
      <c r="K383" s="82"/>
      <c r="L383" s="7"/>
      <c r="M383" s="7"/>
      <c r="N383" s="119"/>
      <c r="O383" s="117"/>
      <c r="P383" s="117"/>
      <c r="Q383" s="117"/>
      <c r="R383" s="117"/>
      <c r="S383" s="78">
        <f t="shared" si="20"/>
        <v>0</v>
      </c>
      <c r="T383" s="78" t="str">
        <f t="shared" si="21"/>
        <v>C</v>
      </c>
      <c r="U383" s="83" t="str">
        <f t="shared" si="22"/>
        <v/>
      </c>
    </row>
    <row r="384" spans="1:21" s="101" customFormat="1" ht="15.95" customHeight="1" x14ac:dyDescent="0.2">
      <c r="A384" s="118" t="str">
        <f t="shared" si="23"/>
        <v xml:space="preserve"> </v>
      </c>
      <c r="B384" s="79"/>
      <c r="C384" s="80"/>
      <c r="D384" s="80"/>
      <c r="E384" s="8"/>
      <c r="F384" s="8"/>
      <c r="G384" s="15"/>
      <c r="H384" s="35"/>
      <c r="I384" s="8"/>
      <c r="J384" s="81"/>
      <c r="K384" s="82"/>
      <c r="L384" s="7"/>
      <c r="M384" s="7"/>
      <c r="N384" s="119"/>
      <c r="O384" s="117"/>
      <c r="P384" s="117"/>
      <c r="Q384" s="117"/>
      <c r="R384" s="117"/>
      <c r="S384" s="78">
        <f t="shared" si="20"/>
        <v>0</v>
      </c>
      <c r="T384" s="78" t="str">
        <f t="shared" si="21"/>
        <v>C</v>
      </c>
      <c r="U384" s="83" t="str">
        <f t="shared" si="22"/>
        <v/>
      </c>
    </row>
    <row r="385" spans="1:21" s="101" customFormat="1" ht="15.95" customHeight="1" x14ac:dyDescent="0.2">
      <c r="A385" s="118" t="str">
        <f t="shared" si="23"/>
        <v xml:space="preserve"> </v>
      </c>
      <c r="B385" s="79"/>
      <c r="C385" s="80"/>
      <c r="D385" s="80"/>
      <c r="E385" s="8"/>
      <c r="F385" s="8"/>
      <c r="G385" s="15"/>
      <c r="H385" s="35"/>
      <c r="I385" s="8"/>
      <c r="J385" s="81"/>
      <c r="K385" s="82"/>
      <c r="L385" s="7"/>
      <c r="M385" s="7"/>
      <c r="N385" s="119"/>
      <c r="O385" s="117"/>
      <c r="P385" s="117"/>
      <c r="Q385" s="117"/>
      <c r="R385" s="117"/>
      <c r="S385" s="78">
        <f t="shared" si="20"/>
        <v>0</v>
      </c>
      <c r="T385" s="78" t="str">
        <f t="shared" si="21"/>
        <v>C</v>
      </c>
      <c r="U385" s="83" t="str">
        <f t="shared" si="22"/>
        <v/>
      </c>
    </row>
    <row r="386" spans="1:21" s="101" customFormat="1" ht="15.95" customHeight="1" x14ac:dyDescent="0.2">
      <c r="A386" s="118" t="str">
        <f t="shared" si="23"/>
        <v xml:space="preserve"> </v>
      </c>
      <c r="B386" s="79"/>
      <c r="C386" s="80"/>
      <c r="D386" s="80"/>
      <c r="E386" s="8"/>
      <c r="F386" s="8"/>
      <c r="G386" s="15"/>
      <c r="H386" s="35"/>
      <c r="I386" s="8"/>
      <c r="J386" s="81"/>
      <c r="K386" s="82"/>
      <c r="L386" s="7"/>
      <c r="M386" s="7"/>
      <c r="N386" s="119"/>
      <c r="O386" s="117"/>
      <c r="P386" s="117"/>
      <c r="Q386" s="117"/>
      <c r="R386" s="117"/>
      <c r="S386" s="78">
        <f t="shared" si="20"/>
        <v>0</v>
      </c>
      <c r="T386" s="78" t="str">
        <f t="shared" si="21"/>
        <v>C</v>
      </c>
      <c r="U386" s="83" t="str">
        <f t="shared" si="22"/>
        <v/>
      </c>
    </row>
    <row r="387" spans="1:21" s="101" customFormat="1" ht="15.95" customHeight="1" x14ac:dyDescent="0.2">
      <c r="A387" s="118" t="str">
        <f t="shared" si="23"/>
        <v xml:space="preserve"> </v>
      </c>
      <c r="B387" s="79"/>
      <c r="C387" s="80"/>
      <c r="D387" s="80"/>
      <c r="E387" s="8"/>
      <c r="F387" s="8"/>
      <c r="G387" s="15"/>
      <c r="H387" s="35"/>
      <c r="I387" s="8"/>
      <c r="J387" s="81"/>
      <c r="K387" s="82"/>
      <c r="L387" s="7"/>
      <c r="M387" s="7"/>
      <c r="N387" s="119"/>
      <c r="O387" s="117"/>
      <c r="P387" s="117"/>
      <c r="Q387" s="117"/>
      <c r="R387" s="117"/>
      <c r="S387" s="78">
        <f t="shared" si="20"/>
        <v>0</v>
      </c>
      <c r="T387" s="78" t="str">
        <f t="shared" si="21"/>
        <v>C</v>
      </c>
      <c r="U387" s="83" t="str">
        <f t="shared" si="22"/>
        <v/>
      </c>
    </row>
    <row r="388" spans="1:21" s="101" customFormat="1" ht="15.95" customHeight="1" x14ac:dyDescent="0.2">
      <c r="A388" s="118" t="str">
        <f t="shared" si="23"/>
        <v xml:space="preserve"> </v>
      </c>
      <c r="B388" s="79"/>
      <c r="C388" s="80"/>
      <c r="D388" s="80"/>
      <c r="E388" s="8"/>
      <c r="F388" s="8"/>
      <c r="G388" s="15"/>
      <c r="H388" s="35"/>
      <c r="I388" s="8"/>
      <c r="J388" s="81"/>
      <c r="K388" s="82"/>
      <c r="L388" s="7"/>
      <c r="M388" s="7"/>
      <c r="N388" s="119"/>
      <c r="O388" s="117"/>
      <c r="P388" s="117"/>
      <c r="Q388" s="117"/>
      <c r="R388" s="117"/>
      <c r="S388" s="78">
        <f t="shared" si="20"/>
        <v>0</v>
      </c>
      <c r="T388" s="78" t="str">
        <f t="shared" si="21"/>
        <v>C</v>
      </c>
      <c r="U388" s="83" t="str">
        <f t="shared" si="22"/>
        <v/>
      </c>
    </row>
    <row r="389" spans="1:21" s="101" customFormat="1" ht="15.95" customHeight="1" x14ac:dyDescent="0.2">
      <c r="A389" s="118" t="str">
        <f t="shared" si="23"/>
        <v xml:space="preserve"> </v>
      </c>
      <c r="B389" s="79"/>
      <c r="C389" s="80"/>
      <c r="D389" s="80"/>
      <c r="E389" s="8"/>
      <c r="F389" s="8"/>
      <c r="G389" s="15"/>
      <c r="H389" s="35"/>
      <c r="I389" s="8"/>
      <c r="J389" s="81"/>
      <c r="K389" s="82"/>
      <c r="L389" s="7"/>
      <c r="M389" s="7"/>
      <c r="N389" s="119"/>
      <c r="O389" s="117"/>
      <c r="P389" s="117"/>
      <c r="Q389" s="117"/>
      <c r="R389" s="117"/>
      <c r="S389" s="78">
        <f t="shared" si="20"/>
        <v>0</v>
      </c>
      <c r="T389" s="78" t="str">
        <f t="shared" si="21"/>
        <v>C</v>
      </c>
      <c r="U389" s="83" t="str">
        <f t="shared" si="22"/>
        <v/>
      </c>
    </row>
    <row r="390" spans="1:21" s="101" customFormat="1" ht="15.95" customHeight="1" x14ac:dyDescent="0.2">
      <c r="A390" s="118" t="str">
        <f t="shared" si="23"/>
        <v xml:space="preserve"> </v>
      </c>
      <c r="B390" s="79"/>
      <c r="C390" s="80"/>
      <c r="D390" s="80"/>
      <c r="E390" s="8"/>
      <c r="F390" s="8"/>
      <c r="G390" s="15"/>
      <c r="H390" s="35"/>
      <c r="I390" s="8"/>
      <c r="J390" s="81"/>
      <c r="K390" s="82"/>
      <c r="L390" s="7"/>
      <c r="M390" s="7"/>
      <c r="N390" s="119"/>
      <c r="O390" s="117"/>
      <c r="P390" s="117"/>
      <c r="Q390" s="117"/>
      <c r="R390" s="117"/>
      <c r="S390" s="78">
        <f t="shared" si="20"/>
        <v>0</v>
      </c>
      <c r="T390" s="78" t="str">
        <f t="shared" si="21"/>
        <v>C</v>
      </c>
      <c r="U390" s="83" t="str">
        <f t="shared" si="22"/>
        <v/>
      </c>
    </row>
    <row r="391" spans="1:21" s="101" customFormat="1" ht="15.95" customHeight="1" x14ac:dyDescent="0.2">
      <c r="A391" s="118" t="str">
        <f t="shared" si="23"/>
        <v xml:space="preserve"> </v>
      </c>
      <c r="B391" s="79"/>
      <c r="C391" s="80"/>
      <c r="D391" s="80"/>
      <c r="E391" s="8"/>
      <c r="F391" s="8"/>
      <c r="G391" s="15"/>
      <c r="H391" s="35"/>
      <c r="I391" s="8"/>
      <c r="J391" s="81"/>
      <c r="K391" s="82"/>
      <c r="L391" s="7"/>
      <c r="M391" s="7"/>
      <c r="N391" s="119"/>
      <c r="O391" s="117"/>
      <c r="P391" s="117"/>
      <c r="Q391" s="117"/>
      <c r="R391" s="117"/>
      <c r="S391" s="78">
        <f t="shared" si="20"/>
        <v>0</v>
      </c>
      <c r="T391" s="78" t="str">
        <f t="shared" si="21"/>
        <v>C</v>
      </c>
      <c r="U391" s="83" t="str">
        <f t="shared" si="22"/>
        <v/>
      </c>
    </row>
    <row r="392" spans="1:21" s="101" customFormat="1" ht="15.95" customHeight="1" x14ac:dyDescent="0.2">
      <c r="A392" s="118" t="str">
        <f t="shared" si="23"/>
        <v xml:space="preserve"> </v>
      </c>
      <c r="B392" s="79"/>
      <c r="C392" s="80"/>
      <c r="D392" s="80"/>
      <c r="E392" s="8"/>
      <c r="F392" s="8"/>
      <c r="G392" s="15"/>
      <c r="H392" s="35"/>
      <c r="I392" s="8"/>
      <c r="J392" s="81"/>
      <c r="K392" s="82"/>
      <c r="L392" s="7"/>
      <c r="M392" s="7"/>
      <c r="N392" s="119"/>
      <c r="O392" s="117"/>
      <c r="P392" s="117"/>
      <c r="Q392" s="117"/>
      <c r="R392" s="117"/>
      <c r="S392" s="78">
        <f t="shared" si="20"/>
        <v>0</v>
      </c>
      <c r="T392" s="78" t="str">
        <f t="shared" si="21"/>
        <v>C</v>
      </c>
      <c r="U392" s="83" t="str">
        <f t="shared" si="22"/>
        <v/>
      </c>
    </row>
    <row r="393" spans="1:21" s="101" customFormat="1" ht="15.95" customHeight="1" x14ac:dyDescent="0.2">
      <c r="A393" s="118" t="str">
        <f t="shared" si="23"/>
        <v xml:space="preserve"> </v>
      </c>
      <c r="B393" s="79"/>
      <c r="C393" s="80"/>
      <c r="D393" s="80"/>
      <c r="E393" s="8"/>
      <c r="F393" s="8"/>
      <c r="G393" s="15"/>
      <c r="H393" s="35"/>
      <c r="I393" s="8"/>
      <c r="J393" s="81"/>
      <c r="K393" s="82"/>
      <c r="L393" s="7"/>
      <c r="M393" s="7"/>
      <c r="N393" s="119"/>
      <c r="O393" s="117"/>
      <c r="P393" s="117"/>
      <c r="Q393" s="117"/>
      <c r="R393" s="117"/>
      <c r="S393" s="78">
        <f t="shared" si="20"/>
        <v>0</v>
      </c>
      <c r="T393" s="78" t="str">
        <f t="shared" si="21"/>
        <v>C</v>
      </c>
      <c r="U393" s="83" t="str">
        <f t="shared" si="22"/>
        <v/>
      </c>
    </row>
    <row r="394" spans="1:21" s="101" customFormat="1" ht="15.95" customHeight="1" x14ac:dyDescent="0.2">
      <c r="A394" s="118" t="str">
        <f t="shared" si="23"/>
        <v xml:space="preserve"> </v>
      </c>
      <c r="B394" s="79"/>
      <c r="C394" s="80"/>
      <c r="D394" s="80"/>
      <c r="E394" s="8"/>
      <c r="F394" s="8"/>
      <c r="G394" s="15"/>
      <c r="H394" s="35"/>
      <c r="I394" s="8"/>
      <c r="J394" s="81"/>
      <c r="K394" s="82"/>
      <c r="L394" s="7"/>
      <c r="M394" s="7"/>
      <c r="N394" s="119"/>
      <c r="O394" s="117"/>
      <c r="P394" s="117"/>
      <c r="Q394" s="117"/>
      <c r="R394" s="117"/>
      <c r="S394" s="78">
        <f t="shared" si="20"/>
        <v>0</v>
      </c>
      <c r="T394" s="78" t="str">
        <f t="shared" si="21"/>
        <v>C</v>
      </c>
      <c r="U394" s="83" t="str">
        <f t="shared" si="22"/>
        <v/>
      </c>
    </row>
    <row r="395" spans="1:21" s="101" customFormat="1" ht="15.95" customHeight="1" x14ac:dyDescent="0.2">
      <c r="A395" s="118" t="str">
        <f t="shared" si="23"/>
        <v xml:space="preserve"> </v>
      </c>
      <c r="B395" s="79"/>
      <c r="C395" s="80"/>
      <c r="D395" s="80"/>
      <c r="E395" s="8"/>
      <c r="F395" s="8"/>
      <c r="G395" s="15"/>
      <c r="H395" s="35"/>
      <c r="I395" s="8"/>
      <c r="J395" s="81"/>
      <c r="K395" s="82"/>
      <c r="L395" s="7"/>
      <c r="M395" s="7"/>
      <c r="N395" s="119"/>
      <c r="O395" s="117"/>
      <c r="P395" s="117"/>
      <c r="Q395" s="117"/>
      <c r="R395" s="117"/>
      <c r="S395" s="78">
        <f t="shared" si="20"/>
        <v>0</v>
      </c>
      <c r="T395" s="78" t="str">
        <f t="shared" si="21"/>
        <v>C</v>
      </c>
      <c r="U395" s="83" t="str">
        <f t="shared" si="22"/>
        <v/>
      </c>
    </row>
    <row r="396" spans="1:21" s="101" customFormat="1" ht="15.95" customHeight="1" x14ac:dyDescent="0.2">
      <c r="A396" s="118" t="str">
        <f t="shared" si="23"/>
        <v xml:space="preserve"> </v>
      </c>
      <c r="B396" s="79"/>
      <c r="C396" s="80"/>
      <c r="D396" s="80"/>
      <c r="E396" s="8"/>
      <c r="F396" s="8"/>
      <c r="G396" s="15"/>
      <c r="H396" s="35"/>
      <c r="I396" s="8"/>
      <c r="J396" s="81"/>
      <c r="K396" s="82"/>
      <c r="L396" s="7"/>
      <c r="M396" s="7"/>
      <c r="N396" s="119"/>
      <c r="O396" s="117"/>
      <c r="P396" s="117"/>
      <c r="Q396" s="117"/>
      <c r="R396" s="117"/>
      <c r="S396" s="78">
        <f t="shared" si="20"/>
        <v>0</v>
      </c>
      <c r="T396" s="78" t="str">
        <f t="shared" si="21"/>
        <v>C</v>
      </c>
      <c r="U396" s="83" t="str">
        <f t="shared" si="22"/>
        <v/>
      </c>
    </row>
    <row r="397" spans="1:21" s="101" customFormat="1" ht="15.95" customHeight="1" x14ac:dyDescent="0.2">
      <c r="A397" s="118" t="str">
        <f t="shared" si="23"/>
        <v xml:space="preserve"> </v>
      </c>
      <c r="B397" s="79"/>
      <c r="C397" s="80"/>
      <c r="D397" s="80"/>
      <c r="E397" s="8"/>
      <c r="F397" s="8"/>
      <c r="G397" s="15"/>
      <c r="H397" s="35"/>
      <c r="I397" s="8"/>
      <c r="J397" s="81"/>
      <c r="K397" s="82"/>
      <c r="L397" s="7"/>
      <c r="M397" s="7"/>
      <c r="N397" s="119"/>
      <c r="O397" s="117"/>
      <c r="P397" s="117"/>
      <c r="Q397" s="117"/>
      <c r="R397" s="117"/>
      <c r="S397" s="78">
        <f t="shared" si="20"/>
        <v>0</v>
      </c>
      <c r="T397" s="78" t="str">
        <f t="shared" si="21"/>
        <v>C</v>
      </c>
      <c r="U397" s="83" t="str">
        <f t="shared" si="22"/>
        <v/>
      </c>
    </row>
    <row r="398" spans="1:21" s="101" customFormat="1" ht="15.95" customHeight="1" x14ac:dyDescent="0.2">
      <c r="A398" s="118" t="str">
        <f t="shared" si="23"/>
        <v xml:space="preserve"> </v>
      </c>
      <c r="B398" s="79"/>
      <c r="C398" s="80"/>
      <c r="D398" s="80"/>
      <c r="E398" s="8"/>
      <c r="F398" s="8"/>
      <c r="G398" s="15"/>
      <c r="H398" s="35"/>
      <c r="I398" s="8"/>
      <c r="J398" s="81"/>
      <c r="K398" s="82"/>
      <c r="L398" s="7"/>
      <c r="M398" s="7"/>
      <c r="N398" s="119"/>
      <c r="O398" s="117"/>
      <c r="P398" s="117"/>
      <c r="Q398" s="117"/>
      <c r="R398" s="117"/>
      <c r="S398" s="78">
        <f t="shared" si="20"/>
        <v>0</v>
      </c>
      <c r="T398" s="78" t="str">
        <f t="shared" si="21"/>
        <v>C</v>
      </c>
      <c r="U398" s="83" t="str">
        <f t="shared" si="22"/>
        <v/>
      </c>
    </row>
    <row r="399" spans="1:21" s="101" customFormat="1" ht="15.95" customHeight="1" x14ac:dyDescent="0.2">
      <c r="A399" s="118" t="str">
        <f t="shared" si="23"/>
        <v xml:space="preserve"> </v>
      </c>
      <c r="B399" s="79"/>
      <c r="C399" s="80"/>
      <c r="D399" s="80"/>
      <c r="E399" s="8"/>
      <c r="F399" s="8"/>
      <c r="G399" s="15"/>
      <c r="H399" s="35"/>
      <c r="I399" s="8"/>
      <c r="J399" s="81"/>
      <c r="K399" s="82"/>
      <c r="L399" s="7"/>
      <c r="M399" s="7"/>
      <c r="N399" s="119"/>
      <c r="O399" s="117"/>
      <c r="P399" s="117"/>
      <c r="Q399" s="117"/>
      <c r="R399" s="117"/>
      <c r="S399" s="78">
        <f t="shared" si="20"/>
        <v>0</v>
      </c>
      <c r="T399" s="78" t="str">
        <f t="shared" si="21"/>
        <v>C</v>
      </c>
      <c r="U399" s="83" t="str">
        <f t="shared" si="22"/>
        <v/>
      </c>
    </row>
    <row r="400" spans="1:21" s="101" customFormat="1" ht="15.95" customHeight="1" x14ac:dyDescent="0.2">
      <c r="A400" s="118" t="str">
        <f t="shared" si="23"/>
        <v xml:space="preserve"> </v>
      </c>
      <c r="B400" s="79"/>
      <c r="C400" s="80"/>
      <c r="D400" s="80"/>
      <c r="E400" s="8"/>
      <c r="F400" s="8"/>
      <c r="G400" s="15"/>
      <c r="H400" s="35"/>
      <c r="I400" s="8"/>
      <c r="J400" s="81"/>
      <c r="K400" s="82"/>
      <c r="L400" s="7"/>
      <c r="M400" s="7"/>
      <c r="N400" s="119"/>
      <c r="O400" s="117"/>
      <c r="P400" s="117"/>
      <c r="Q400" s="117"/>
      <c r="R400" s="117"/>
      <c r="S400" s="78">
        <f t="shared" ref="S400:S463" si="24">ROUND(ABS(K400),2)*100</f>
        <v>0</v>
      </c>
      <c r="T400" s="78" t="str">
        <f t="shared" ref="T400:T463" si="25">IF(K400&gt;0,"D","C")</f>
        <v>C</v>
      </c>
      <c r="U400" s="83" t="str">
        <f t="shared" ref="U400:U463" si="26">B400&amp;C400&amp;D400&amp;E400&amp;F400&amp;G400&amp;H400&amp;I400&amp;J400&amp;K400&amp;L400&amp;N400</f>
        <v/>
      </c>
    </row>
    <row r="401" spans="1:21" s="101" customFormat="1" ht="15.95" customHeight="1" x14ac:dyDescent="0.2">
      <c r="A401" s="118" t="str">
        <f t="shared" ref="A401:A464" si="27">IF(U401=""," ",A400+1)</f>
        <v xml:space="preserve"> </v>
      </c>
      <c r="B401" s="79"/>
      <c r="C401" s="80"/>
      <c r="D401" s="80"/>
      <c r="E401" s="8"/>
      <c r="F401" s="8"/>
      <c r="G401" s="15"/>
      <c r="H401" s="35"/>
      <c r="I401" s="8"/>
      <c r="J401" s="81"/>
      <c r="K401" s="82"/>
      <c r="L401" s="7"/>
      <c r="M401" s="7"/>
      <c r="N401" s="119"/>
      <c r="O401" s="117"/>
      <c r="P401" s="117"/>
      <c r="Q401" s="117"/>
      <c r="R401" s="117"/>
      <c r="S401" s="78">
        <f t="shared" si="24"/>
        <v>0</v>
      </c>
      <c r="T401" s="78" t="str">
        <f t="shared" si="25"/>
        <v>C</v>
      </c>
      <c r="U401" s="83" t="str">
        <f t="shared" si="26"/>
        <v/>
      </c>
    </row>
    <row r="402" spans="1:21" s="101" customFormat="1" ht="15.95" customHeight="1" x14ac:dyDescent="0.2">
      <c r="A402" s="118" t="str">
        <f t="shared" si="27"/>
        <v xml:space="preserve"> </v>
      </c>
      <c r="B402" s="79"/>
      <c r="C402" s="80"/>
      <c r="D402" s="80"/>
      <c r="E402" s="8"/>
      <c r="F402" s="8"/>
      <c r="G402" s="15"/>
      <c r="H402" s="35"/>
      <c r="I402" s="8"/>
      <c r="J402" s="81"/>
      <c r="K402" s="82"/>
      <c r="L402" s="7"/>
      <c r="M402" s="7"/>
      <c r="N402" s="119"/>
      <c r="O402" s="117"/>
      <c r="P402" s="117"/>
      <c r="Q402" s="117"/>
      <c r="R402" s="117"/>
      <c r="S402" s="78">
        <f t="shared" si="24"/>
        <v>0</v>
      </c>
      <c r="T402" s="78" t="str">
        <f t="shared" si="25"/>
        <v>C</v>
      </c>
      <c r="U402" s="83" t="str">
        <f t="shared" si="26"/>
        <v/>
      </c>
    </row>
    <row r="403" spans="1:21" s="101" customFormat="1" ht="15.95" customHeight="1" x14ac:dyDescent="0.2">
      <c r="A403" s="118" t="str">
        <f t="shared" si="27"/>
        <v xml:space="preserve"> </v>
      </c>
      <c r="B403" s="79"/>
      <c r="C403" s="80"/>
      <c r="D403" s="80"/>
      <c r="E403" s="8"/>
      <c r="F403" s="8"/>
      <c r="G403" s="15"/>
      <c r="H403" s="35"/>
      <c r="I403" s="8"/>
      <c r="J403" s="81"/>
      <c r="K403" s="82"/>
      <c r="L403" s="7"/>
      <c r="M403" s="7"/>
      <c r="N403" s="119"/>
      <c r="O403" s="117"/>
      <c r="P403" s="117"/>
      <c r="Q403" s="117"/>
      <c r="R403" s="117"/>
      <c r="S403" s="78">
        <f t="shared" si="24"/>
        <v>0</v>
      </c>
      <c r="T403" s="78" t="str">
        <f t="shared" si="25"/>
        <v>C</v>
      </c>
      <c r="U403" s="83" t="str">
        <f t="shared" si="26"/>
        <v/>
      </c>
    </row>
    <row r="404" spans="1:21" s="101" customFormat="1" ht="15.95" customHeight="1" x14ac:dyDescent="0.2">
      <c r="A404" s="118" t="str">
        <f t="shared" si="27"/>
        <v xml:space="preserve"> </v>
      </c>
      <c r="B404" s="79"/>
      <c r="C404" s="80"/>
      <c r="D404" s="80"/>
      <c r="E404" s="8"/>
      <c r="F404" s="8"/>
      <c r="G404" s="15"/>
      <c r="H404" s="35"/>
      <c r="I404" s="8"/>
      <c r="J404" s="81"/>
      <c r="K404" s="82"/>
      <c r="L404" s="7"/>
      <c r="M404" s="7"/>
      <c r="N404" s="119"/>
      <c r="O404" s="117"/>
      <c r="P404" s="117"/>
      <c r="Q404" s="117"/>
      <c r="R404" s="117"/>
      <c r="S404" s="78">
        <f t="shared" si="24"/>
        <v>0</v>
      </c>
      <c r="T404" s="78" t="str">
        <f t="shared" si="25"/>
        <v>C</v>
      </c>
      <c r="U404" s="83" t="str">
        <f t="shared" si="26"/>
        <v/>
      </c>
    </row>
    <row r="405" spans="1:21" s="101" customFormat="1" ht="15.95" customHeight="1" x14ac:dyDescent="0.2">
      <c r="A405" s="118" t="str">
        <f t="shared" si="27"/>
        <v xml:space="preserve"> </v>
      </c>
      <c r="B405" s="79"/>
      <c r="C405" s="80"/>
      <c r="D405" s="80"/>
      <c r="E405" s="8"/>
      <c r="F405" s="8"/>
      <c r="G405" s="15"/>
      <c r="H405" s="35"/>
      <c r="I405" s="8"/>
      <c r="J405" s="81"/>
      <c r="K405" s="82"/>
      <c r="L405" s="7"/>
      <c r="M405" s="7"/>
      <c r="N405" s="119"/>
      <c r="O405" s="117"/>
      <c r="P405" s="117"/>
      <c r="Q405" s="117"/>
      <c r="R405" s="117"/>
      <c r="S405" s="78">
        <f t="shared" si="24"/>
        <v>0</v>
      </c>
      <c r="T405" s="78" t="str">
        <f t="shared" si="25"/>
        <v>C</v>
      </c>
      <c r="U405" s="83" t="str">
        <f t="shared" si="26"/>
        <v/>
      </c>
    </row>
    <row r="406" spans="1:21" s="101" customFormat="1" ht="15.95" customHeight="1" x14ac:dyDescent="0.2">
      <c r="A406" s="118" t="str">
        <f t="shared" si="27"/>
        <v xml:space="preserve"> </v>
      </c>
      <c r="B406" s="79"/>
      <c r="C406" s="80"/>
      <c r="D406" s="80"/>
      <c r="E406" s="8"/>
      <c r="F406" s="8"/>
      <c r="G406" s="15"/>
      <c r="H406" s="35"/>
      <c r="I406" s="8"/>
      <c r="J406" s="81"/>
      <c r="K406" s="82"/>
      <c r="L406" s="7"/>
      <c r="M406" s="7"/>
      <c r="N406" s="119"/>
      <c r="O406" s="117"/>
      <c r="P406" s="117"/>
      <c r="Q406" s="117"/>
      <c r="R406" s="117"/>
      <c r="S406" s="78">
        <f t="shared" si="24"/>
        <v>0</v>
      </c>
      <c r="T406" s="78" t="str">
        <f t="shared" si="25"/>
        <v>C</v>
      </c>
      <c r="U406" s="83" t="str">
        <f t="shared" si="26"/>
        <v/>
      </c>
    </row>
    <row r="407" spans="1:21" s="101" customFormat="1" ht="15.95" customHeight="1" x14ac:dyDescent="0.2">
      <c r="A407" s="118" t="str">
        <f t="shared" si="27"/>
        <v xml:space="preserve"> </v>
      </c>
      <c r="B407" s="79"/>
      <c r="C407" s="80"/>
      <c r="D407" s="80"/>
      <c r="E407" s="8"/>
      <c r="F407" s="8"/>
      <c r="G407" s="15"/>
      <c r="H407" s="35"/>
      <c r="I407" s="8"/>
      <c r="J407" s="81"/>
      <c r="K407" s="82"/>
      <c r="L407" s="7"/>
      <c r="M407" s="7"/>
      <c r="N407" s="119"/>
      <c r="O407" s="117"/>
      <c r="P407" s="117"/>
      <c r="Q407" s="117"/>
      <c r="R407" s="117"/>
      <c r="S407" s="78">
        <f t="shared" si="24"/>
        <v>0</v>
      </c>
      <c r="T407" s="78" t="str">
        <f t="shared" si="25"/>
        <v>C</v>
      </c>
      <c r="U407" s="83" t="str">
        <f t="shared" si="26"/>
        <v/>
      </c>
    </row>
    <row r="408" spans="1:21" s="101" customFormat="1" ht="15.95" customHeight="1" x14ac:dyDescent="0.2">
      <c r="A408" s="118" t="str">
        <f t="shared" si="27"/>
        <v xml:space="preserve"> </v>
      </c>
      <c r="B408" s="79"/>
      <c r="C408" s="80"/>
      <c r="D408" s="80"/>
      <c r="E408" s="8"/>
      <c r="F408" s="8"/>
      <c r="G408" s="15"/>
      <c r="H408" s="35"/>
      <c r="I408" s="8"/>
      <c r="J408" s="81"/>
      <c r="K408" s="82"/>
      <c r="L408" s="7"/>
      <c r="M408" s="7"/>
      <c r="N408" s="119"/>
      <c r="O408" s="117"/>
      <c r="P408" s="117"/>
      <c r="Q408" s="117"/>
      <c r="R408" s="117"/>
      <c r="S408" s="78">
        <f t="shared" si="24"/>
        <v>0</v>
      </c>
      <c r="T408" s="78" t="str">
        <f t="shared" si="25"/>
        <v>C</v>
      </c>
      <c r="U408" s="83" t="str">
        <f t="shared" si="26"/>
        <v/>
      </c>
    </row>
    <row r="409" spans="1:21" s="101" customFormat="1" ht="15.95" customHeight="1" x14ac:dyDescent="0.2">
      <c r="A409" s="118" t="str">
        <f t="shared" si="27"/>
        <v xml:space="preserve"> </v>
      </c>
      <c r="B409" s="79"/>
      <c r="C409" s="80"/>
      <c r="D409" s="80"/>
      <c r="E409" s="8"/>
      <c r="F409" s="8"/>
      <c r="G409" s="15"/>
      <c r="H409" s="35"/>
      <c r="I409" s="8"/>
      <c r="J409" s="81"/>
      <c r="K409" s="82"/>
      <c r="L409" s="7"/>
      <c r="M409" s="7"/>
      <c r="N409" s="119"/>
      <c r="O409" s="117"/>
      <c r="P409" s="117"/>
      <c r="Q409" s="117"/>
      <c r="R409" s="117"/>
      <c r="S409" s="78">
        <f t="shared" si="24"/>
        <v>0</v>
      </c>
      <c r="T409" s="78" t="str">
        <f t="shared" si="25"/>
        <v>C</v>
      </c>
      <c r="U409" s="83" t="str">
        <f t="shared" si="26"/>
        <v/>
      </c>
    </row>
    <row r="410" spans="1:21" s="101" customFormat="1" ht="15.95" customHeight="1" x14ac:dyDescent="0.2">
      <c r="A410" s="118" t="str">
        <f t="shared" si="27"/>
        <v xml:space="preserve"> </v>
      </c>
      <c r="B410" s="79"/>
      <c r="C410" s="80"/>
      <c r="D410" s="80"/>
      <c r="E410" s="8"/>
      <c r="F410" s="8"/>
      <c r="G410" s="15"/>
      <c r="H410" s="35"/>
      <c r="I410" s="8"/>
      <c r="J410" s="81"/>
      <c r="K410" s="82"/>
      <c r="L410" s="7"/>
      <c r="M410" s="7"/>
      <c r="N410" s="119"/>
      <c r="O410" s="117"/>
      <c r="P410" s="117"/>
      <c r="Q410" s="117"/>
      <c r="R410" s="117"/>
      <c r="S410" s="78">
        <f t="shared" si="24"/>
        <v>0</v>
      </c>
      <c r="T410" s="78" t="str">
        <f t="shared" si="25"/>
        <v>C</v>
      </c>
      <c r="U410" s="83" t="str">
        <f t="shared" si="26"/>
        <v/>
      </c>
    </row>
    <row r="411" spans="1:21" s="101" customFormat="1" ht="15.95" customHeight="1" x14ac:dyDescent="0.2">
      <c r="A411" s="118" t="str">
        <f t="shared" si="27"/>
        <v xml:space="preserve"> </v>
      </c>
      <c r="B411" s="79"/>
      <c r="C411" s="80"/>
      <c r="D411" s="80"/>
      <c r="E411" s="8"/>
      <c r="F411" s="8"/>
      <c r="G411" s="15"/>
      <c r="H411" s="35"/>
      <c r="I411" s="8"/>
      <c r="J411" s="81"/>
      <c r="K411" s="82"/>
      <c r="L411" s="7"/>
      <c r="M411" s="7"/>
      <c r="N411" s="119"/>
      <c r="O411" s="117"/>
      <c r="P411" s="117"/>
      <c r="Q411" s="117"/>
      <c r="R411" s="117"/>
      <c r="S411" s="78">
        <f t="shared" si="24"/>
        <v>0</v>
      </c>
      <c r="T411" s="78" t="str">
        <f t="shared" si="25"/>
        <v>C</v>
      </c>
      <c r="U411" s="83" t="str">
        <f t="shared" si="26"/>
        <v/>
      </c>
    </row>
    <row r="412" spans="1:21" s="101" customFormat="1" ht="15.95" customHeight="1" x14ac:dyDescent="0.2">
      <c r="A412" s="118" t="str">
        <f t="shared" si="27"/>
        <v xml:space="preserve"> </v>
      </c>
      <c r="B412" s="79"/>
      <c r="C412" s="80"/>
      <c r="D412" s="80"/>
      <c r="E412" s="8"/>
      <c r="F412" s="8"/>
      <c r="G412" s="15"/>
      <c r="H412" s="35"/>
      <c r="I412" s="8"/>
      <c r="J412" s="81"/>
      <c r="K412" s="82"/>
      <c r="L412" s="7"/>
      <c r="M412" s="7"/>
      <c r="N412" s="119"/>
      <c r="O412" s="117"/>
      <c r="P412" s="117"/>
      <c r="Q412" s="117"/>
      <c r="R412" s="117"/>
      <c r="S412" s="78">
        <f t="shared" si="24"/>
        <v>0</v>
      </c>
      <c r="T412" s="78" t="str">
        <f t="shared" si="25"/>
        <v>C</v>
      </c>
      <c r="U412" s="83" t="str">
        <f t="shared" si="26"/>
        <v/>
      </c>
    </row>
    <row r="413" spans="1:21" s="101" customFormat="1" ht="15.95" customHeight="1" x14ac:dyDescent="0.2">
      <c r="A413" s="118" t="str">
        <f t="shared" si="27"/>
        <v xml:space="preserve"> </v>
      </c>
      <c r="B413" s="79"/>
      <c r="C413" s="80"/>
      <c r="D413" s="80"/>
      <c r="E413" s="8"/>
      <c r="F413" s="8"/>
      <c r="G413" s="15"/>
      <c r="H413" s="35"/>
      <c r="I413" s="8"/>
      <c r="J413" s="81"/>
      <c r="K413" s="82"/>
      <c r="L413" s="7"/>
      <c r="M413" s="7"/>
      <c r="N413" s="119"/>
      <c r="O413" s="117"/>
      <c r="P413" s="117"/>
      <c r="Q413" s="117"/>
      <c r="R413" s="117"/>
      <c r="S413" s="78">
        <f t="shared" si="24"/>
        <v>0</v>
      </c>
      <c r="T413" s="78" t="str">
        <f t="shared" si="25"/>
        <v>C</v>
      </c>
      <c r="U413" s="83" t="str">
        <f t="shared" si="26"/>
        <v/>
      </c>
    </row>
    <row r="414" spans="1:21" s="101" customFormat="1" ht="15.95" customHeight="1" x14ac:dyDescent="0.2">
      <c r="A414" s="118" t="str">
        <f t="shared" si="27"/>
        <v xml:space="preserve"> </v>
      </c>
      <c r="B414" s="79"/>
      <c r="C414" s="80"/>
      <c r="D414" s="80"/>
      <c r="E414" s="8"/>
      <c r="F414" s="8"/>
      <c r="G414" s="15"/>
      <c r="H414" s="35"/>
      <c r="I414" s="8"/>
      <c r="J414" s="81"/>
      <c r="K414" s="82"/>
      <c r="L414" s="7"/>
      <c r="M414" s="7"/>
      <c r="N414" s="119"/>
      <c r="O414" s="117"/>
      <c r="P414" s="117"/>
      <c r="Q414" s="117"/>
      <c r="R414" s="117"/>
      <c r="S414" s="78">
        <f t="shared" si="24"/>
        <v>0</v>
      </c>
      <c r="T414" s="78" t="str">
        <f t="shared" si="25"/>
        <v>C</v>
      </c>
      <c r="U414" s="83" t="str">
        <f t="shared" si="26"/>
        <v/>
      </c>
    </row>
    <row r="415" spans="1:21" s="101" customFormat="1" ht="15.95" customHeight="1" x14ac:dyDescent="0.2">
      <c r="A415" s="118" t="str">
        <f t="shared" si="27"/>
        <v xml:space="preserve"> </v>
      </c>
      <c r="B415" s="79"/>
      <c r="C415" s="80"/>
      <c r="D415" s="80"/>
      <c r="E415" s="8"/>
      <c r="F415" s="8"/>
      <c r="G415" s="15"/>
      <c r="H415" s="35"/>
      <c r="I415" s="8"/>
      <c r="J415" s="81"/>
      <c r="K415" s="82"/>
      <c r="L415" s="7"/>
      <c r="M415" s="7"/>
      <c r="N415" s="119"/>
      <c r="O415" s="117"/>
      <c r="P415" s="117"/>
      <c r="Q415" s="117"/>
      <c r="R415" s="117"/>
      <c r="S415" s="78">
        <f t="shared" si="24"/>
        <v>0</v>
      </c>
      <c r="T415" s="78" t="str">
        <f t="shared" si="25"/>
        <v>C</v>
      </c>
      <c r="U415" s="83" t="str">
        <f t="shared" si="26"/>
        <v/>
      </c>
    </row>
    <row r="416" spans="1:21" s="101" customFormat="1" ht="15.95" customHeight="1" x14ac:dyDescent="0.2">
      <c r="A416" s="118" t="str">
        <f t="shared" si="27"/>
        <v xml:space="preserve"> </v>
      </c>
      <c r="B416" s="79"/>
      <c r="C416" s="80"/>
      <c r="D416" s="80"/>
      <c r="E416" s="8"/>
      <c r="F416" s="8"/>
      <c r="G416" s="15"/>
      <c r="H416" s="35"/>
      <c r="I416" s="8"/>
      <c r="J416" s="81"/>
      <c r="K416" s="82"/>
      <c r="L416" s="7"/>
      <c r="M416" s="7"/>
      <c r="N416" s="119"/>
      <c r="O416" s="117"/>
      <c r="P416" s="117"/>
      <c r="Q416" s="117"/>
      <c r="R416" s="117"/>
      <c r="S416" s="78">
        <f t="shared" si="24"/>
        <v>0</v>
      </c>
      <c r="T416" s="78" t="str">
        <f t="shared" si="25"/>
        <v>C</v>
      </c>
      <c r="U416" s="83" t="str">
        <f t="shared" si="26"/>
        <v/>
      </c>
    </row>
    <row r="417" spans="1:21" s="101" customFormat="1" ht="15.95" customHeight="1" x14ac:dyDescent="0.2">
      <c r="A417" s="118" t="str">
        <f t="shared" si="27"/>
        <v xml:space="preserve"> </v>
      </c>
      <c r="B417" s="79"/>
      <c r="C417" s="80"/>
      <c r="D417" s="80"/>
      <c r="E417" s="8"/>
      <c r="F417" s="8"/>
      <c r="G417" s="15"/>
      <c r="H417" s="35"/>
      <c r="I417" s="8"/>
      <c r="J417" s="81"/>
      <c r="K417" s="82"/>
      <c r="L417" s="7"/>
      <c r="M417" s="7"/>
      <c r="N417" s="119"/>
      <c r="O417" s="117"/>
      <c r="P417" s="117"/>
      <c r="Q417" s="117"/>
      <c r="R417" s="117"/>
      <c r="S417" s="78">
        <f t="shared" si="24"/>
        <v>0</v>
      </c>
      <c r="T417" s="78" t="str">
        <f t="shared" si="25"/>
        <v>C</v>
      </c>
      <c r="U417" s="83" t="str">
        <f t="shared" si="26"/>
        <v/>
      </c>
    </row>
    <row r="418" spans="1:21" s="101" customFormat="1" ht="15.95" customHeight="1" x14ac:dyDescent="0.2">
      <c r="A418" s="118" t="str">
        <f t="shared" si="27"/>
        <v xml:space="preserve"> </v>
      </c>
      <c r="B418" s="79"/>
      <c r="C418" s="80"/>
      <c r="D418" s="80"/>
      <c r="E418" s="8"/>
      <c r="F418" s="8"/>
      <c r="G418" s="15"/>
      <c r="H418" s="35"/>
      <c r="I418" s="8"/>
      <c r="J418" s="81"/>
      <c r="K418" s="82"/>
      <c r="L418" s="7"/>
      <c r="M418" s="7"/>
      <c r="N418" s="119"/>
      <c r="O418" s="117"/>
      <c r="P418" s="117"/>
      <c r="Q418" s="117"/>
      <c r="R418" s="117"/>
      <c r="S418" s="78">
        <f t="shared" si="24"/>
        <v>0</v>
      </c>
      <c r="T418" s="78" t="str">
        <f t="shared" si="25"/>
        <v>C</v>
      </c>
      <c r="U418" s="83" t="str">
        <f t="shared" si="26"/>
        <v/>
      </c>
    </row>
    <row r="419" spans="1:21" s="101" customFormat="1" ht="15.95" customHeight="1" x14ac:dyDescent="0.2">
      <c r="A419" s="118" t="str">
        <f t="shared" si="27"/>
        <v xml:space="preserve"> </v>
      </c>
      <c r="B419" s="79"/>
      <c r="C419" s="80"/>
      <c r="D419" s="80"/>
      <c r="E419" s="8"/>
      <c r="F419" s="8"/>
      <c r="G419" s="15"/>
      <c r="H419" s="35"/>
      <c r="I419" s="8"/>
      <c r="J419" s="81"/>
      <c r="K419" s="82"/>
      <c r="L419" s="7"/>
      <c r="M419" s="7"/>
      <c r="N419" s="119"/>
      <c r="O419" s="117"/>
      <c r="P419" s="117"/>
      <c r="Q419" s="117"/>
      <c r="R419" s="117"/>
      <c r="S419" s="78">
        <f t="shared" si="24"/>
        <v>0</v>
      </c>
      <c r="T419" s="78" t="str">
        <f t="shared" si="25"/>
        <v>C</v>
      </c>
      <c r="U419" s="83" t="str">
        <f t="shared" si="26"/>
        <v/>
      </c>
    </row>
    <row r="420" spans="1:21" s="101" customFormat="1" ht="15.95" customHeight="1" x14ac:dyDescent="0.2">
      <c r="A420" s="118" t="str">
        <f t="shared" si="27"/>
        <v xml:space="preserve"> </v>
      </c>
      <c r="B420" s="79"/>
      <c r="C420" s="80"/>
      <c r="D420" s="80"/>
      <c r="E420" s="8"/>
      <c r="F420" s="8"/>
      <c r="G420" s="15"/>
      <c r="H420" s="35"/>
      <c r="I420" s="8"/>
      <c r="J420" s="81"/>
      <c r="K420" s="82"/>
      <c r="L420" s="7"/>
      <c r="M420" s="7"/>
      <c r="N420" s="119"/>
      <c r="O420" s="117"/>
      <c r="P420" s="117"/>
      <c r="Q420" s="117"/>
      <c r="R420" s="117"/>
      <c r="S420" s="78">
        <f t="shared" si="24"/>
        <v>0</v>
      </c>
      <c r="T420" s="78" t="str">
        <f t="shared" si="25"/>
        <v>C</v>
      </c>
      <c r="U420" s="83" t="str">
        <f t="shared" si="26"/>
        <v/>
      </c>
    </row>
    <row r="421" spans="1:21" s="101" customFormat="1" ht="15.95" customHeight="1" x14ac:dyDescent="0.2">
      <c r="A421" s="118" t="str">
        <f t="shared" si="27"/>
        <v xml:space="preserve"> </v>
      </c>
      <c r="B421" s="79"/>
      <c r="C421" s="80"/>
      <c r="D421" s="80"/>
      <c r="E421" s="8"/>
      <c r="F421" s="8"/>
      <c r="G421" s="15"/>
      <c r="H421" s="35"/>
      <c r="I421" s="8"/>
      <c r="J421" s="81"/>
      <c r="K421" s="82"/>
      <c r="L421" s="7"/>
      <c r="M421" s="7"/>
      <c r="N421" s="119"/>
      <c r="O421" s="117"/>
      <c r="P421" s="117"/>
      <c r="Q421" s="117"/>
      <c r="R421" s="117"/>
      <c r="S421" s="78">
        <f t="shared" si="24"/>
        <v>0</v>
      </c>
      <c r="T421" s="78" t="str">
        <f t="shared" si="25"/>
        <v>C</v>
      </c>
      <c r="U421" s="83" t="str">
        <f t="shared" si="26"/>
        <v/>
      </c>
    </row>
    <row r="422" spans="1:21" s="101" customFormat="1" ht="15.95" customHeight="1" x14ac:dyDescent="0.2">
      <c r="A422" s="118" t="str">
        <f t="shared" si="27"/>
        <v xml:space="preserve"> </v>
      </c>
      <c r="B422" s="79"/>
      <c r="C422" s="80"/>
      <c r="D422" s="80"/>
      <c r="E422" s="8"/>
      <c r="F422" s="8"/>
      <c r="G422" s="15"/>
      <c r="H422" s="35"/>
      <c r="I422" s="8"/>
      <c r="J422" s="81"/>
      <c r="K422" s="82"/>
      <c r="L422" s="7"/>
      <c r="M422" s="7"/>
      <c r="N422" s="119"/>
      <c r="O422" s="117"/>
      <c r="P422" s="117"/>
      <c r="Q422" s="117"/>
      <c r="R422" s="117"/>
      <c r="S422" s="78">
        <f t="shared" si="24"/>
        <v>0</v>
      </c>
      <c r="T422" s="78" t="str">
        <f t="shared" si="25"/>
        <v>C</v>
      </c>
      <c r="U422" s="83" t="str">
        <f t="shared" si="26"/>
        <v/>
      </c>
    </row>
    <row r="423" spans="1:21" s="101" customFormat="1" ht="15.95" customHeight="1" x14ac:dyDescent="0.2">
      <c r="A423" s="118" t="str">
        <f t="shared" si="27"/>
        <v xml:space="preserve"> </v>
      </c>
      <c r="B423" s="79"/>
      <c r="C423" s="80"/>
      <c r="D423" s="80"/>
      <c r="E423" s="8"/>
      <c r="F423" s="8"/>
      <c r="G423" s="15"/>
      <c r="H423" s="35"/>
      <c r="I423" s="8"/>
      <c r="J423" s="81"/>
      <c r="K423" s="82"/>
      <c r="L423" s="7"/>
      <c r="M423" s="7"/>
      <c r="N423" s="119"/>
      <c r="O423" s="117"/>
      <c r="P423" s="117"/>
      <c r="Q423" s="117"/>
      <c r="R423" s="117"/>
      <c r="S423" s="78">
        <f t="shared" si="24"/>
        <v>0</v>
      </c>
      <c r="T423" s="78" t="str">
        <f t="shared" si="25"/>
        <v>C</v>
      </c>
      <c r="U423" s="83" t="str">
        <f t="shared" si="26"/>
        <v/>
      </c>
    </row>
    <row r="424" spans="1:21" s="101" customFormat="1" ht="15.95" customHeight="1" x14ac:dyDescent="0.2">
      <c r="A424" s="118" t="str">
        <f t="shared" si="27"/>
        <v xml:space="preserve"> </v>
      </c>
      <c r="B424" s="79"/>
      <c r="C424" s="80"/>
      <c r="D424" s="80"/>
      <c r="E424" s="8"/>
      <c r="F424" s="8"/>
      <c r="G424" s="15"/>
      <c r="H424" s="35"/>
      <c r="I424" s="8"/>
      <c r="J424" s="81"/>
      <c r="K424" s="82"/>
      <c r="L424" s="7"/>
      <c r="M424" s="7"/>
      <c r="N424" s="119"/>
      <c r="O424" s="117"/>
      <c r="P424" s="117"/>
      <c r="Q424" s="117"/>
      <c r="R424" s="117"/>
      <c r="S424" s="78">
        <f t="shared" si="24"/>
        <v>0</v>
      </c>
      <c r="T424" s="78" t="str">
        <f t="shared" si="25"/>
        <v>C</v>
      </c>
      <c r="U424" s="83" t="str">
        <f t="shared" si="26"/>
        <v/>
      </c>
    </row>
    <row r="425" spans="1:21" s="101" customFormat="1" ht="15.95" customHeight="1" x14ac:dyDescent="0.2">
      <c r="A425" s="118" t="str">
        <f t="shared" si="27"/>
        <v xml:space="preserve"> </v>
      </c>
      <c r="B425" s="79"/>
      <c r="C425" s="80"/>
      <c r="D425" s="80"/>
      <c r="E425" s="8"/>
      <c r="F425" s="8"/>
      <c r="G425" s="15"/>
      <c r="H425" s="35"/>
      <c r="I425" s="8"/>
      <c r="J425" s="81"/>
      <c r="K425" s="82"/>
      <c r="L425" s="7"/>
      <c r="M425" s="7"/>
      <c r="N425" s="119"/>
      <c r="O425" s="117"/>
      <c r="P425" s="117"/>
      <c r="Q425" s="117"/>
      <c r="R425" s="117"/>
      <c r="S425" s="78">
        <f t="shared" si="24"/>
        <v>0</v>
      </c>
      <c r="T425" s="78" t="str">
        <f t="shared" si="25"/>
        <v>C</v>
      </c>
      <c r="U425" s="83" t="str">
        <f t="shared" si="26"/>
        <v/>
      </c>
    </row>
    <row r="426" spans="1:21" s="101" customFormat="1" ht="15.95" customHeight="1" x14ac:dyDescent="0.2">
      <c r="A426" s="118" t="str">
        <f t="shared" si="27"/>
        <v xml:space="preserve"> </v>
      </c>
      <c r="B426" s="79"/>
      <c r="C426" s="80"/>
      <c r="D426" s="80"/>
      <c r="E426" s="8"/>
      <c r="F426" s="8"/>
      <c r="G426" s="15"/>
      <c r="H426" s="35"/>
      <c r="I426" s="8"/>
      <c r="J426" s="81"/>
      <c r="K426" s="82"/>
      <c r="L426" s="7"/>
      <c r="M426" s="7"/>
      <c r="N426" s="119"/>
      <c r="O426" s="117"/>
      <c r="P426" s="117"/>
      <c r="Q426" s="117"/>
      <c r="R426" s="117"/>
      <c r="S426" s="78">
        <f t="shared" si="24"/>
        <v>0</v>
      </c>
      <c r="T426" s="78" t="str">
        <f t="shared" si="25"/>
        <v>C</v>
      </c>
      <c r="U426" s="83" t="str">
        <f t="shared" si="26"/>
        <v/>
      </c>
    </row>
    <row r="427" spans="1:21" s="101" customFormat="1" ht="15.95" customHeight="1" x14ac:dyDescent="0.2">
      <c r="A427" s="118" t="str">
        <f t="shared" si="27"/>
        <v xml:space="preserve"> </v>
      </c>
      <c r="B427" s="79"/>
      <c r="C427" s="80"/>
      <c r="D427" s="80"/>
      <c r="E427" s="8"/>
      <c r="F427" s="8"/>
      <c r="G427" s="15"/>
      <c r="H427" s="35"/>
      <c r="I427" s="8"/>
      <c r="J427" s="81"/>
      <c r="K427" s="82"/>
      <c r="L427" s="7"/>
      <c r="M427" s="7"/>
      <c r="N427" s="119"/>
      <c r="O427" s="117"/>
      <c r="P427" s="117"/>
      <c r="Q427" s="117"/>
      <c r="R427" s="117"/>
      <c r="S427" s="78">
        <f t="shared" si="24"/>
        <v>0</v>
      </c>
      <c r="T427" s="78" t="str">
        <f t="shared" si="25"/>
        <v>C</v>
      </c>
      <c r="U427" s="83" t="str">
        <f t="shared" si="26"/>
        <v/>
      </c>
    </row>
    <row r="428" spans="1:21" s="101" customFormat="1" ht="15.95" customHeight="1" x14ac:dyDescent="0.2">
      <c r="A428" s="118" t="str">
        <f t="shared" si="27"/>
        <v xml:space="preserve"> </v>
      </c>
      <c r="B428" s="79"/>
      <c r="C428" s="80"/>
      <c r="D428" s="80"/>
      <c r="E428" s="8"/>
      <c r="F428" s="8"/>
      <c r="G428" s="15"/>
      <c r="H428" s="35"/>
      <c r="I428" s="8"/>
      <c r="J428" s="81"/>
      <c r="K428" s="82"/>
      <c r="L428" s="7"/>
      <c r="M428" s="7"/>
      <c r="N428" s="119"/>
      <c r="O428" s="117"/>
      <c r="P428" s="117"/>
      <c r="Q428" s="117"/>
      <c r="R428" s="117"/>
      <c r="S428" s="78">
        <f t="shared" si="24"/>
        <v>0</v>
      </c>
      <c r="T428" s="78" t="str">
        <f t="shared" si="25"/>
        <v>C</v>
      </c>
      <c r="U428" s="83" t="str">
        <f t="shared" si="26"/>
        <v/>
      </c>
    </row>
    <row r="429" spans="1:21" s="101" customFormat="1" ht="15.95" customHeight="1" x14ac:dyDescent="0.2">
      <c r="A429" s="118" t="str">
        <f t="shared" si="27"/>
        <v xml:space="preserve"> </v>
      </c>
      <c r="B429" s="79"/>
      <c r="C429" s="80"/>
      <c r="D429" s="80"/>
      <c r="E429" s="8"/>
      <c r="F429" s="8"/>
      <c r="G429" s="15"/>
      <c r="H429" s="35"/>
      <c r="I429" s="8"/>
      <c r="J429" s="81"/>
      <c r="K429" s="82"/>
      <c r="L429" s="7"/>
      <c r="M429" s="7"/>
      <c r="N429" s="119"/>
      <c r="O429" s="117"/>
      <c r="P429" s="117"/>
      <c r="Q429" s="117"/>
      <c r="R429" s="117"/>
      <c r="S429" s="78">
        <f t="shared" si="24"/>
        <v>0</v>
      </c>
      <c r="T429" s="78" t="str">
        <f t="shared" si="25"/>
        <v>C</v>
      </c>
      <c r="U429" s="83" t="str">
        <f t="shared" si="26"/>
        <v/>
      </c>
    </row>
    <row r="430" spans="1:21" s="101" customFormat="1" ht="15.95" customHeight="1" x14ac:dyDescent="0.2">
      <c r="A430" s="118" t="str">
        <f t="shared" si="27"/>
        <v xml:space="preserve"> </v>
      </c>
      <c r="B430" s="79"/>
      <c r="C430" s="80"/>
      <c r="D430" s="80"/>
      <c r="E430" s="8"/>
      <c r="F430" s="8"/>
      <c r="G430" s="15"/>
      <c r="H430" s="35"/>
      <c r="I430" s="8"/>
      <c r="J430" s="81"/>
      <c r="K430" s="82"/>
      <c r="L430" s="7"/>
      <c r="M430" s="7"/>
      <c r="N430" s="119"/>
      <c r="O430" s="117"/>
      <c r="P430" s="117"/>
      <c r="Q430" s="117"/>
      <c r="R430" s="117"/>
      <c r="S430" s="78">
        <f t="shared" si="24"/>
        <v>0</v>
      </c>
      <c r="T430" s="78" t="str">
        <f t="shared" si="25"/>
        <v>C</v>
      </c>
      <c r="U430" s="83" t="str">
        <f t="shared" si="26"/>
        <v/>
      </c>
    </row>
    <row r="431" spans="1:21" s="101" customFormat="1" ht="15.95" customHeight="1" x14ac:dyDescent="0.2">
      <c r="A431" s="118" t="str">
        <f t="shared" si="27"/>
        <v xml:space="preserve"> </v>
      </c>
      <c r="B431" s="79"/>
      <c r="C431" s="80"/>
      <c r="D431" s="80"/>
      <c r="E431" s="8"/>
      <c r="F431" s="8"/>
      <c r="G431" s="15"/>
      <c r="H431" s="35"/>
      <c r="I431" s="8"/>
      <c r="J431" s="81"/>
      <c r="K431" s="82"/>
      <c r="L431" s="7"/>
      <c r="M431" s="7"/>
      <c r="N431" s="119"/>
      <c r="O431" s="117"/>
      <c r="P431" s="117"/>
      <c r="Q431" s="117"/>
      <c r="R431" s="117"/>
      <c r="S431" s="78">
        <f t="shared" si="24"/>
        <v>0</v>
      </c>
      <c r="T431" s="78" t="str">
        <f t="shared" si="25"/>
        <v>C</v>
      </c>
      <c r="U431" s="83" t="str">
        <f t="shared" si="26"/>
        <v/>
      </c>
    </row>
    <row r="432" spans="1:21" s="101" customFormat="1" ht="15.95" customHeight="1" x14ac:dyDescent="0.2">
      <c r="A432" s="118" t="str">
        <f t="shared" si="27"/>
        <v xml:space="preserve"> </v>
      </c>
      <c r="B432" s="79"/>
      <c r="C432" s="80"/>
      <c r="D432" s="80"/>
      <c r="E432" s="8"/>
      <c r="F432" s="8"/>
      <c r="G432" s="15"/>
      <c r="H432" s="35"/>
      <c r="I432" s="8"/>
      <c r="J432" s="81"/>
      <c r="K432" s="82"/>
      <c r="L432" s="7"/>
      <c r="M432" s="7"/>
      <c r="N432" s="119"/>
      <c r="O432" s="117"/>
      <c r="P432" s="117"/>
      <c r="Q432" s="117"/>
      <c r="R432" s="117"/>
      <c r="S432" s="78">
        <f t="shared" si="24"/>
        <v>0</v>
      </c>
      <c r="T432" s="78" t="str">
        <f t="shared" si="25"/>
        <v>C</v>
      </c>
      <c r="U432" s="83" t="str">
        <f t="shared" si="26"/>
        <v/>
      </c>
    </row>
    <row r="433" spans="1:21" s="101" customFormat="1" ht="15.95" customHeight="1" x14ac:dyDescent="0.2">
      <c r="A433" s="118" t="str">
        <f t="shared" si="27"/>
        <v xml:space="preserve"> </v>
      </c>
      <c r="B433" s="79"/>
      <c r="C433" s="80"/>
      <c r="D433" s="80"/>
      <c r="E433" s="8"/>
      <c r="F433" s="8"/>
      <c r="G433" s="15"/>
      <c r="H433" s="35"/>
      <c r="I433" s="8"/>
      <c r="J433" s="81"/>
      <c r="K433" s="82"/>
      <c r="L433" s="7"/>
      <c r="M433" s="7"/>
      <c r="N433" s="119"/>
      <c r="O433" s="117"/>
      <c r="P433" s="117"/>
      <c r="Q433" s="117"/>
      <c r="R433" s="117"/>
      <c r="S433" s="78">
        <f t="shared" si="24"/>
        <v>0</v>
      </c>
      <c r="T433" s="78" t="str">
        <f t="shared" si="25"/>
        <v>C</v>
      </c>
      <c r="U433" s="83" t="str">
        <f t="shared" si="26"/>
        <v/>
      </c>
    </row>
    <row r="434" spans="1:21" s="101" customFormat="1" ht="15.95" customHeight="1" x14ac:dyDescent="0.2">
      <c r="A434" s="118" t="str">
        <f t="shared" si="27"/>
        <v xml:space="preserve"> </v>
      </c>
      <c r="B434" s="79"/>
      <c r="C434" s="80"/>
      <c r="D434" s="80"/>
      <c r="E434" s="8"/>
      <c r="F434" s="8"/>
      <c r="G434" s="15"/>
      <c r="H434" s="35"/>
      <c r="I434" s="8"/>
      <c r="J434" s="81"/>
      <c r="K434" s="82"/>
      <c r="L434" s="7"/>
      <c r="M434" s="7"/>
      <c r="N434" s="119"/>
      <c r="O434" s="117"/>
      <c r="P434" s="117"/>
      <c r="Q434" s="117"/>
      <c r="R434" s="117"/>
      <c r="S434" s="78">
        <f t="shared" si="24"/>
        <v>0</v>
      </c>
      <c r="T434" s="78" t="str">
        <f t="shared" si="25"/>
        <v>C</v>
      </c>
      <c r="U434" s="83" t="str">
        <f t="shared" si="26"/>
        <v/>
      </c>
    </row>
    <row r="435" spans="1:21" s="101" customFormat="1" ht="15.95" customHeight="1" x14ac:dyDescent="0.2">
      <c r="A435" s="118" t="str">
        <f t="shared" si="27"/>
        <v xml:space="preserve"> </v>
      </c>
      <c r="B435" s="79"/>
      <c r="C435" s="80"/>
      <c r="D435" s="80"/>
      <c r="E435" s="8"/>
      <c r="F435" s="8"/>
      <c r="G435" s="15"/>
      <c r="H435" s="35"/>
      <c r="I435" s="8"/>
      <c r="J435" s="81"/>
      <c r="K435" s="82"/>
      <c r="L435" s="7"/>
      <c r="M435" s="7"/>
      <c r="N435" s="119"/>
      <c r="O435" s="117"/>
      <c r="P435" s="117"/>
      <c r="Q435" s="117"/>
      <c r="R435" s="117"/>
      <c r="S435" s="78">
        <f t="shared" si="24"/>
        <v>0</v>
      </c>
      <c r="T435" s="78" t="str">
        <f t="shared" si="25"/>
        <v>C</v>
      </c>
      <c r="U435" s="83" t="str">
        <f t="shared" si="26"/>
        <v/>
      </c>
    </row>
    <row r="436" spans="1:21" s="101" customFormat="1" ht="15.95" customHeight="1" x14ac:dyDescent="0.2">
      <c r="A436" s="118" t="str">
        <f t="shared" si="27"/>
        <v xml:space="preserve"> </v>
      </c>
      <c r="B436" s="79"/>
      <c r="C436" s="80"/>
      <c r="D436" s="80"/>
      <c r="E436" s="8"/>
      <c r="F436" s="8"/>
      <c r="G436" s="15"/>
      <c r="H436" s="35"/>
      <c r="I436" s="8"/>
      <c r="J436" s="81"/>
      <c r="K436" s="82"/>
      <c r="L436" s="7"/>
      <c r="M436" s="7"/>
      <c r="N436" s="119"/>
      <c r="O436" s="117"/>
      <c r="P436" s="117"/>
      <c r="Q436" s="117"/>
      <c r="R436" s="117"/>
      <c r="S436" s="78">
        <f t="shared" si="24"/>
        <v>0</v>
      </c>
      <c r="T436" s="78" t="str">
        <f t="shared" si="25"/>
        <v>C</v>
      </c>
      <c r="U436" s="83" t="str">
        <f t="shared" si="26"/>
        <v/>
      </c>
    </row>
    <row r="437" spans="1:21" s="101" customFormat="1" ht="15.95" customHeight="1" x14ac:dyDescent="0.2">
      <c r="A437" s="118" t="str">
        <f t="shared" si="27"/>
        <v xml:space="preserve"> </v>
      </c>
      <c r="B437" s="79"/>
      <c r="C437" s="80"/>
      <c r="D437" s="80"/>
      <c r="E437" s="8"/>
      <c r="F437" s="8"/>
      <c r="G437" s="15"/>
      <c r="H437" s="35"/>
      <c r="I437" s="8"/>
      <c r="J437" s="81"/>
      <c r="K437" s="82"/>
      <c r="L437" s="7"/>
      <c r="M437" s="7"/>
      <c r="N437" s="119"/>
      <c r="O437" s="117"/>
      <c r="P437" s="117"/>
      <c r="Q437" s="117"/>
      <c r="R437" s="117"/>
      <c r="S437" s="78">
        <f t="shared" si="24"/>
        <v>0</v>
      </c>
      <c r="T437" s="78" t="str">
        <f t="shared" si="25"/>
        <v>C</v>
      </c>
      <c r="U437" s="83" t="str">
        <f t="shared" si="26"/>
        <v/>
      </c>
    </row>
    <row r="438" spans="1:21" s="101" customFormat="1" ht="15.95" customHeight="1" x14ac:dyDescent="0.2">
      <c r="A438" s="118" t="str">
        <f t="shared" si="27"/>
        <v xml:space="preserve"> </v>
      </c>
      <c r="B438" s="79"/>
      <c r="C438" s="80"/>
      <c r="D438" s="80"/>
      <c r="E438" s="8"/>
      <c r="F438" s="8"/>
      <c r="G438" s="15"/>
      <c r="H438" s="35"/>
      <c r="I438" s="8"/>
      <c r="J438" s="81"/>
      <c r="K438" s="82"/>
      <c r="L438" s="7"/>
      <c r="M438" s="7"/>
      <c r="N438" s="119"/>
      <c r="O438" s="117"/>
      <c r="P438" s="117"/>
      <c r="Q438" s="117"/>
      <c r="R438" s="117"/>
      <c r="S438" s="78">
        <f t="shared" si="24"/>
        <v>0</v>
      </c>
      <c r="T438" s="78" t="str">
        <f t="shared" si="25"/>
        <v>C</v>
      </c>
      <c r="U438" s="83" t="str">
        <f t="shared" si="26"/>
        <v/>
      </c>
    </row>
    <row r="439" spans="1:21" s="101" customFormat="1" ht="15.95" customHeight="1" x14ac:dyDescent="0.2">
      <c r="A439" s="118" t="str">
        <f t="shared" si="27"/>
        <v xml:space="preserve"> </v>
      </c>
      <c r="B439" s="79"/>
      <c r="C439" s="80"/>
      <c r="D439" s="80"/>
      <c r="E439" s="8"/>
      <c r="F439" s="8"/>
      <c r="G439" s="15"/>
      <c r="H439" s="35"/>
      <c r="I439" s="8"/>
      <c r="J439" s="81"/>
      <c r="K439" s="82"/>
      <c r="L439" s="7"/>
      <c r="M439" s="7"/>
      <c r="N439" s="119"/>
      <c r="O439" s="117"/>
      <c r="P439" s="117"/>
      <c r="Q439" s="117"/>
      <c r="R439" s="117"/>
      <c r="S439" s="78">
        <f t="shared" si="24"/>
        <v>0</v>
      </c>
      <c r="T439" s="78" t="str">
        <f t="shared" si="25"/>
        <v>C</v>
      </c>
      <c r="U439" s="83" t="str">
        <f t="shared" si="26"/>
        <v/>
      </c>
    </row>
    <row r="440" spans="1:21" s="101" customFormat="1" ht="15.95" customHeight="1" x14ac:dyDescent="0.2">
      <c r="A440" s="118" t="str">
        <f t="shared" si="27"/>
        <v xml:space="preserve"> </v>
      </c>
      <c r="B440" s="79"/>
      <c r="C440" s="80"/>
      <c r="D440" s="80"/>
      <c r="E440" s="8"/>
      <c r="F440" s="8"/>
      <c r="G440" s="15"/>
      <c r="H440" s="35"/>
      <c r="I440" s="8"/>
      <c r="J440" s="81"/>
      <c r="K440" s="82"/>
      <c r="L440" s="7"/>
      <c r="M440" s="7"/>
      <c r="N440" s="119"/>
      <c r="O440" s="117"/>
      <c r="P440" s="117"/>
      <c r="Q440" s="117"/>
      <c r="R440" s="117"/>
      <c r="S440" s="78">
        <f t="shared" si="24"/>
        <v>0</v>
      </c>
      <c r="T440" s="78" t="str">
        <f t="shared" si="25"/>
        <v>C</v>
      </c>
      <c r="U440" s="83" t="str">
        <f t="shared" si="26"/>
        <v/>
      </c>
    </row>
    <row r="441" spans="1:21" s="101" customFormat="1" ht="15.95" customHeight="1" x14ac:dyDescent="0.2">
      <c r="A441" s="118" t="str">
        <f t="shared" si="27"/>
        <v xml:space="preserve"> </v>
      </c>
      <c r="B441" s="79"/>
      <c r="C441" s="80"/>
      <c r="D441" s="80"/>
      <c r="E441" s="8"/>
      <c r="F441" s="8"/>
      <c r="G441" s="15"/>
      <c r="H441" s="35"/>
      <c r="I441" s="8"/>
      <c r="J441" s="81"/>
      <c r="K441" s="82"/>
      <c r="L441" s="7"/>
      <c r="M441" s="7"/>
      <c r="N441" s="119"/>
      <c r="O441" s="117"/>
      <c r="P441" s="117"/>
      <c r="Q441" s="117"/>
      <c r="R441" s="117"/>
      <c r="S441" s="78">
        <f t="shared" si="24"/>
        <v>0</v>
      </c>
      <c r="T441" s="78" t="str">
        <f t="shared" si="25"/>
        <v>C</v>
      </c>
      <c r="U441" s="83" t="str">
        <f t="shared" si="26"/>
        <v/>
      </c>
    </row>
    <row r="442" spans="1:21" s="101" customFormat="1" ht="15.95" customHeight="1" x14ac:dyDescent="0.2">
      <c r="A442" s="118" t="str">
        <f t="shared" si="27"/>
        <v xml:space="preserve"> </v>
      </c>
      <c r="B442" s="79"/>
      <c r="C442" s="80"/>
      <c r="D442" s="80"/>
      <c r="E442" s="8"/>
      <c r="F442" s="8"/>
      <c r="G442" s="15"/>
      <c r="H442" s="35"/>
      <c r="I442" s="8"/>
      <c r="J442" s="81"/>
      <c r="K442" s="82"/>
      <c r="L442" s="7"/>
      <c r="M442" s="7"/>
      <c r="N442" s="119"/>
      <c r="O442" s="117"/>
      <c r="P442" s="117"/>
      <c r="Q442" s="117"/>
      <c r="R442" s="117"/>
      <c r="S442" s="78">
        <f t="shared" si="24"/>
        <v>0</v>
      </c>
      <c r="T442" s="78" t="str">
        <f t="shared" si="25"/>
        <v>C</v>
      </c>
      <c r="U442" s="83" t="str">
        <f t="shared" si="26"/>
        <v/>
      </c>
    </row>
    <row r="443" spans="1:21" s="101" customFormat="1" ht="15.95" customHeight="1" x14ac:dyDescent="0.2">
      <c r="A443" s="118" t="str">
        <f t="shared" si="27"/>
        <v xml:space="preserve"> </v>
      </c>
      <c r="B443" s="79"/>
      <c r="C443" s="80"/>
      <c r="D443" s="80"/>
      <c r="E443" s="8"/>
      <c r="F443" s="8"/>
      <c r="G443" s="15"/>
      <c r="H443" s="35"/>
      <c r="I443" s="8"/>
      <c r="J443" s="81"/>
      <c r="K443" s="82"/>
      <c r="L443" s="7"/>
      <c r="M443" s="7"/>
      <c r="N443" s="119"/>
      <c r="O443" s="117"/>
      <c r="P443" s="117"/>
      <c r="Q443" s="117"/>
      <c r="R443" s="117"/>
      <c r="S443" s="78">
        <f t="shared" si="24"/>
        <v>0</v>
      </c>
      <c r="T443" s="78" t="str">
        <f t="shared" si="25"/>
        <v>C</v>
      </c>
      <c r="U443" s="83" t="str">
        <f t="shared" si="26"/>
        <v/>
      </c>
    </row>
    <row r="444" spans="1:21" s="101" customFormat="1" ht="15.95" customHeight="1" x14ac:dyDescent="0.2">
      <c r="A444" s="118" t="str">
        <f t="shared" si="27"/>
        <v xml:space="preserve"> </v>
      </c>
      <c r="B444" s="79"/>
      <c r="C444" s="80"/>
      <c r="D444" s="80"/>
      <c r="E444" s="8"/>
      <c r="F444" s="8"/>
      <c r="G444" s="15"/>
      <c r="H444" s="35"/>
      <c r="I444" s="8"/>
      <c r="J444" s="81"/>
      <c r="K444" s="82"/>
      <c r="L444" s="7"/>
      <c r="M444" s="7"/>
      <c r="N444" s="119"/>
      <c r="O444" s="117"/>
      <c r="P444" s="117"/>
      <c r="Q444" s="117"/>
      <c r="R444" s="117"/>
      <c r="S444" s="78">
        <f t="shared" si="24"/>
        <v>0</v>
      </c>
      <c r="T444" s="78" t="str">
        <f t="shared" si="25"/>
        <v>C</v>
      </c>
      <c r="U444" s="83" t="str">
        <f t="shared" si="26"/>
        <v/>
      </c>
    </row>
    <row r="445" spans="1:21" s="101" customFormat="1" ht="15.95" customHeight="1" x14ac:dyDescent="0.2">
      <c r="A445" s="118" t="str">
        <f t="shared" si="27"/>
        <v xml:space="preserve"> </v>
      </c>
      <c r="B445" s="79"/>
      <c r="C445" s="80"/>
      <c r="D445" s="80"/>
      <c r="E445" s="8"/>
      <c r="F445" s="8"/>
      <c r="G445" s="15"/>
      <c r="H445" s="35"/>
      <c r="I445" s="8"/>
      <c r="J445" s="81"/>
      <c r="K445" s="82"/>
      <c r="L445" s="7"/>
      <c r="M445" s="7"/>
      <c r="N445" s="119"/>
      <c r="O445" s="117"/>
      <c r="P445" s="117"/>
      <c r="Q445" s="117"/>
      <c r="R445" s="117"/>
      <c r="S445" s="78">
        <f t="shared" si="24"/>
        <v>0</v>
      </c>
      <c r="T445" s="78" t="str">
        <f t="shared" si="25"/>
        <v>C</v>
      </c>
      <c r="U445" s="83" t="str">
        <f t="shared" si="26"/>
        <v/>
      </c>
    </row>
    <row r="446" spans="1:21" s="101" customFormat="1" ht="15.95" customHeight="1" x14ac:dyDescent="0.2">
      <c r="A446" s="118" t="str">
        <f t="shared" si="27"/>
        <v xml:space="preserve"> </v>
      </c>
      <c r="B446" s="79"/>
      <c r="C446" s="80"/>
      <c r="D446" s="80"/>
      <c r="E446" s="8"/>
      <c r="F446" s="8"/>
      <c r="G446" s="15"/>
      <c r="H446" s="35"/>
      <c r="I446" s="8"/>
      <c r="J446" s="81"/>
      <c r="K446" s="82"/>
      <c r="L446" s="7"/>
      <c r="M446" s="7"/>
      <c r="N446" s="119"/>
      <c r="O446" s="117"/>
      <c r="P446" s="117"/>
      <c r="Q446" s="117"/>
      <c r="R446" s="117"/>
      <c r="S446" s="78">
        <f t="shared" si="24"/>
        <v>0</v>
      </c>
      <c r="T446" s="78" t="str">
        <f t="shared" si="25"/>
        <v>C</v>
      </c>
      <c r="U446" s="83" t="str">
        <f t="shared" si="26"/>
        <v/>
      </c>
    </row>
    <row r="447" spans="1:21" s="101" customFormat="1" ht="15.95" customHeight="1" x14ac:dyDescent="0.2">
      <c r="A447" s="118" t="str">
        <f t="shared" si="27"/>
        <v xml:space="preserve"> </v>
      </c>
      <c r="B447" s="79"/>
      <c r="C447" s="80"/>
      <c r="D447" s="80"/>
      <c r="E447" s="8"/>
      <c r="F447" s="8"/>
      <c r="G447" s="15"/>
      <c r="H447" s="35"/>
      <c r="I447" s="8"/>
      <c r="J447" s="81"/>
      <c r="K447" s="82"/>
      <c r="L447" s="7"/>
      <c r="M447" s="7"/>
      <c r="N447" s="119"/>
      <c r="O447" s="117"/>
      <c r="P447" s="117"/>
      <c r="Q447" s="117"/>
      <c r="R447" s="117"/>
      <c r="S447" s="78">
        <f t="shared" si="24"/>
        <v>0</v>
      </c>
      <c r="T447" s="78" t="str">
        <f t="shared" si="25"/>
        <v>C</v>
      </c>
      <c r="U447" s="83" t="str">
        <f t="shared" si="26"/>
        <v/>
      </c>
    </row>
    <row r="448" spans="1:21" s="101" customFormat="1" ht="15.95" customHeight="1" x14ac:dyDescent="0.2">
      <c r="A448" s="118" t="str">
        <f t="shared" si="27"/>
        <v xml:space="preserve"> </v>
      </c>
      <c r="B448" s="79"/>
      <c r="C448" s="80"/>
      <c r="D448" s="80"/>
      <c r="E448" s="8"/>
      <c r="F448" s="8"/>
      <c r="G448" s="15"/>
      <c r="H448" s="35"/>
      <c r="I448" s="8"/>
      <c r="J448" s="81"/>
      <c r="K448" s="82"/>
      <c r="L448" s="7"/>
      <c r="M448" s="7"/>
      <c r="N448" s="119"/>
      <c r="O448" s="117"/>
      <c r="P448" s="117"/>
      <c r="Q448" s="117"/>
      <c r="R448" s="117"/>
      <c r="S448" s="78">
        <f t="shared" si="24"/>
        <v>0</v>
      </c>
      <c r="T448" s="78" t="str">
        <f t="shared" si="25"/>
        <v>C</v>
      </c>
      <c r="U448" s="83" t="str">
        <f t="shared" si="26"/>
        <v/>
      </c>
    </row>
    <row r="449" spans="1:21" s="101" customFormat="1" ht="15.95" customHeight="1" x14ac:dyDescent="0.2">
      <c r="A449" s="118" t="str">
        <f t="shared" si="27"/>
        <v xml:space="preserve"> </v>
      </c>
      <c r="B449" s="79"/>
      <c r="C449" s="80"/>
      <c r="D449" s="80"/>
      <c r="E449" s="8"/>
      <c r="F449" s="8"/>
      <c r="G449" s="15"/>
      <c r="H449" s="35"/>
      <c r="I449" s="8"/>
      <c r="J449" s="81"/>
      <c r="K449" s="82"/>
      <c r="L449" s="7"/>
      <c r="M449" s="7"/>
      <c r="N449" s="119"/>
      <c r="O449" s="117"/>
      <c r="P449" s="117"/>
      <c r="Q449" s="117"/>
      <c r="R449" s="117"/>
      <c r="S449" s="78">
        <f t="shared" si="24"/>
        <v>0</v>
      </c>
      <c r="T449" s="78" t="str">
        <f t="shared" si="25"/>
        <v>C</v>
      </c>
      <c r="U449" s="83" t="str">
        <f t="shared" si="26"/>
        <v/>
      </c>
    </row>
    <row r="450" spans="1:21" s="101" customFormat="1" ht="15.95" customHeight="1" x14ac:dyDescent="0.2">
      <c r="A450" s="118" t="str">
        <f t="shared" si="27"/>
        <v xml:space="preserve"> </v>
      </c>
      <c r="B450" s="79"/>
      <c r="C450" s="80"/>
      <c r="D450" s="80"/>
      <c r="E450" s="8"/>
      <c r="F450" s="8"/>
      <c r="G450" s="15"/>
      <c r="H450" s="35"/>
      <c r="I450" s="8"/>
      <c r="J450" s="81"/>
      <c r="K450" s="82"/>
      <c r="L450" s="7"/>
      <c r="M450" s="7"/>
      <c r="N450" s="119"/>
      <c r="O450" s="117"/>
      <c r="P450" s="117"/>
      <c r="Q450" s="117"/>
      <c r="R450" s="117"/>
      <c r="S450" s="78">
        <f t="shared" si="24"/>
        <v>0</v>
      </c>
      <c r="T450" s="78" t="str">
        <f t="shared" si="25"/>
        <v>C</v>
      </c>
      <c r="U450" s="83" t="str">
        <f t="shared" si="26"/>
        <v/>
      </c>
    </row>
    <row r="451" spans="1:21" s="101" customFormat="1" ht="15.95" customHeight="1" x14ac:dyDescent="0.2">
      <c r="A451" s="118" t="str">
        <f t="shared" si="27"/>
        <v xml:space="preserve"> </v>
      </c>
      <c r="B451" s="79"/>
      <c r="C451" s="80"/>
      <c r="D451" s="80"/>
      <c r="E451" s="8"/>
      <c r="F451" s="8"/>
      <c r="G451" s="15"/>
      <c r="H451" s="35"/>
      <c r="I451" s="8"/>
      <c r="J451" s="81"/>
      <c r="K451" s="82"/>
      <c r="L451" s="7"/>
      <c r="M451" s="7"/>
      <c r="N451" s="119"/>
      <c r="O451" s="117"/>
      <c r="P451" s="117"/>
      <c r="Q451" s="117"/>
      <c r="R451" s="117"/>
      <c r="S451" s="78">
        <f t="shared" si="24"/>
        <v>0</v>
      </c>
      <c r="T451" s="78" t="str">
        <f t="shared" si="25"/>
        <v>C</v>
      </c>
      <c r="U451" s="83" t="str">
        <f t="shared" si="26"/>
        <v/>
      </c>
    </row>
    <row r="452" spans="1:21" s="101" customFormat="1" ht="15.95" customHeight="1" x14ac:dyDescent="0.2">
      <c r="A452" s="118" t="str">
        <f t="shared" si="27"/>
        <v xml:space="preserve"> </v>
      </c>
      <c r="B452" s="79"/>
      <c r="C452" s="80"/>
      <c r="D452" s="80"/>
      <c r="E452" s="8"/>
      <c r="F452" s="8"/>
      <c r="G452" s="15"/>
      <c r="H452" s="35"/>
      <c r="I452" s="8"/>
      <c r="J452" s="81"/>
      <c r="K452" s="82"/>
      <c r="L452" s="7"/>
      <c r="M452" s="7"/>
      <c r="N452" s="119"/>
      <c r="O452" s="117"/>
      <c r="P452" s="117"/>
      <c r="Q452" s="117"/>
      <c r="R452" s="117"/>
      <c r="S452" s="78">
        <f t="shared" si="24"/>
        <v>0</v>
      </c>
      <c r="T452" s="78" t="str">
        <f t="shared" si="25"/>
        <v>C</v>
      </c>
      <c r="U452" s="83" t="str">
        <f t="shared" si="26"/>
        <v/>
      </c>
    </row>
    <row r="453" spans="1:21" s="101" customFormat="1" ht="15.95" customHeight="1" x14ac:dyDescent="0.2">
      <c r="A453" s="118" t="str">
        <f t="shared" si="27"/>
        <v xml:space="preserve"> </v>
      </c>
      <c r="B453" s="79"/>
      <c r="C453" s="80"/>
      <c r="D453" s="80"/>
      <c r="E453" s="8"/>
      <c r="F453" s="8"/>
      <c r="G453" s="15"/>
      <c r="H453" s="35"/>
      <c r="I453" s="8"/>
      <c r="J453" s="81"/>
      <c r="K453" s="82"/>
      <c r="L453" s="7"/>
      <c r="M453" s="7"/>
      <c r="N453" s="119"/>
      <c r="O453" s="117"/>
      <c r="P453" s="117"/>
      <c r="Q453" s="117"/>
      <c r="R453" s="117"/>
      <c r="S453" s="78">
        <f t="shared" si="24"/>
        <v>0</v>
      </c>
      <c r="T453" s="78" t="str">
        <f t="shared" si="25"/>
        <v>C</v>
      </c>
      <c r="U453" s="83" t="str">
        <f t="shared" si="26"/>
        <v/>
      </c>
    </row>
    <row r="454" spans="1:21" s="101" customFormat="1" ht="15.95" customHeight="1" x14ac:dyDescent="0.2">
      <c r="A454" s="118" t="str">
        <f t="shared" si="27"/>
        <v xml:space="preserve"> </v>
      </c>
      <c r="B454" s="79"/>
      <c r="C454" s="80"/>
      <c r="D454" s="80"/>
      <c r="E454" s="8"/>
      <c r="F454" s="8"/>
      <c r="G454" s="15"/>
      <c r="H454" s="35"/>
      <c r="I454" s="8"/>
      <c r="J454" s="81"/>
      <c r="K454" s="82"/>
      <c r="L454" s="7"/>
      <c r="M454" s="7"/>
      <c r="N454" s="119"/>
      <c r="O454" s="117"/>
      <c r="P454" s="117"/>
      <c r="Q454" s="117"/>
      <c r="R454" s="117"/>
      <c r="S454" s="78">
        <f t="shared" si="24"/>
        <v>0</v>
      </c>
      <c r="T454" s="78" t="str">
        <f t="shared" si="25"/>
        <v>C</v>
      </c>
      <c r="U454" s="83" t="str">
        <f t="shared" si="26"/>
        <v/>
      </c>
    </row>
    <row r="455" spans="1:21" s="101" customFormat="1" ht="15.95" customHeight="1" x14ac:dyDescent="0.2">
      <c r="A455" s="118" t="str">
        <f t="shared" si="27"/>
        <v xml:space="preserve"> </v>
      </c>
      <c r="B455" s="79"/>
      <c r="C455" s="80"/>
      <c r="D455" s="80"/>
      <c r="E455" s="8"/>
      <c r="F455" s="8"/>
      <c r="G455" s="15"/>
      <c r="H455" s="35"/>
      <c r="I455" s="8"/>
      <c r="J455" s="81"/>
      <c r="K455" s="82"/>
      <c r="L455" s="7"/>
      <c r="M455" s="7"/>
      <c r="N455" s="119"/>
      <c r="O455" s="117"/>
      <c r="P455" s="117"/>
      <c r="Q455" s="117"/>
      <c r="R455" s="117"/>
      <c r="S455" s="78">
        <f t="shared" si="24"/>
        <v>0</v>
      </c>
      <c r="T455" s="78" t="str">
        <f t="shared" si="25"/>
        <v>C</v>
      </c>
      <c r="U455" s="83" t="str">
        <f t="shared" si="26"/>
        <v/>
      </c>
    </row>
    <row r="456" spans="1:21" s="101" customFormat="1" ht="15.95" customHeight="1" x14ac:dyDescent="0.2">
      <c r="A456" s="118" t="str">
        <f t="shared" si="27"/>
        <v xml:space="preserve"> </v>
      </c>
      <c r="B456" s="79"/>
      <c r="C456" s="80"/>
      <c r="D456" s="80"/>
      <c r="E456" s="8"/>
      <c r="F456" s="8"/>
      <c r="G456" s="15"/>
      <c r="H456" s="35"/>
      <c r="I456" s="8"/>
      <c r="J456" s="81"/>
      <c r="K456" s="82"/>
      <c r="L456" s="7"/>
      <c r="M456" s="7"/>
      <c r="N456" s="119"/>
      <c r="O456" s="117"/>
      <c r="P456" s="117"/>
      <c r="Q456" s="117"/>
      <c r="R456" s="117"/>
      <c r="S456" s="78">
        <f t="shared" si="24"/>
        <v>0</v>
      </c>
      <c r="T456" s="78" t="str">
        <f t="shared" si="25"/>
        <v>C</v>
      </c>
      <c r="U456" s="83" t="str">
        <f t="shared" si="26"/>
        <v/>
      </c>
    </row>
    <row r="457" spans="1:21" s="101" customFormat="1" ht="15.95" customHeight="1" x14ac:dyDescent="0.2">
      <c r="A457" s="118" t="str">
        <f t="shared" si="27"/>
        <v xml:space="preserve"> </v>
      </c>
      <c r="B457" s="79"/>
      <c r="C457" s="80"/>
      <c r="D457" s="80"/>
      <c r="E457" s="8"/>
      <c r="F457" s="8"/>
      <c r="G457" s="15"/>
      <c r="H457" s="35"/>
      <c r="I457" s="8"/>
      <c r="J457" s="81"/>
      <c r="K457" s="82"/>
      <c r="L457" s="7"/>
      <c r="M457" s="7"/>
      <c r="N457" s="119"/>
      <c r="O457" s="117"/>
      <c r="P457" s="117"/>
      <c r="Q457" s="117"/>
      <c r="R457" s="117"/>
      <c r="S457" s="78">
        <f t="shared" si="24"/>
        <v>0</v>
      </c>
      <c r="T457" s="78" t="str">
        <f t="shared" si="25"/>
        <v>C</v>
      </c>
      <c r="U457" s="83" t="str">
        <f t="shared" si="26"/>
        <v/>
      </c>
    </row>
    <row r="458" spans="1:21" s="101" customFormat="1" ht="15.95" customHeight="1" x14ac:dyDescent="0.2">
      <c r="A458" s="118" t="str">
        <f t="shared" si="27"/>
        <v xml:space="preserve"> </v>
      </c>
      <c r="B458" s="79"/>
      <c r="C458" s="80"/>
      <c r="D458" s="80"/>
      <c r="E458" s="8"/>
      <c r="F458" s="8"/>
      <c r="G458" s="15"/>
      <c r="H458" s="35"/>
      <c r="I458" s="8"/>
      <c r="J458" s="81"/>
      <c r="K458" s="82"/>
      <c r="L458" s="7"/>
      <c r="M458" s="7"/>
      <c r="N458" s="119"/>
      <c r="O458" s="117"/>
      <c r="P458" s="117"/>
      <c r="Q458" s="117"/>
      <c r="R458" s="117"/>
      <c r="S458" s="78">
        <f t="shared" si="24"/>
        <v>0</v>
      </c>
      <c r="T458" s="78" t="str">
        <f t="shared" si="25"/>
        <v>C</v>
      </c>
      <c r="U458" s="83" t="str">
        <f t="shared" si="26"/>
        <v/>
      </c>
    </row>
    <row r="459" spans="1:21" s="101" customFormat="1" ht="15.95" customHeight="1" x14ac:dyDescent="0.2">
      <c r="A459" s="118" t="str">
        <f t="shared" si="27"/>
        <v xml:space="preserve"> </v>
      </c>
      <c r="B459" s="79"/>
      <c r="C459" s="80"/>
      <c r="D459" s="80"/>
      <c r="E459" s="8"/>
      <c r="F459" s="8"/>
      <c r="G459" s="15"/>
      <c r="H459" s="35"/>
      <c r="I459" s="8"/>
      <c r="J459" s="81"/>
      <c r="K459" s="82"/>
      <c r="L459" s="7"/>
      <c r="M459" s="7"/>
      <c r="N459" s="119"/>
      <c r="O459" s="117"/>
      <c r="P459" s="117"/>
      <c r="Q459" s="117"/>
      <c r="R459" s="117"/>
      <c r="S459" s="78">
        <f t="shared" si="24"/>
        <v>0</v>
      </c>
      <c r="T459" s="78" t="str">
        <f t="shared" si="25"/>
        <v>C</v>
      </c>
      <c r="U459" s="83" t="str">
        <f t="shared" si="26"/>
        <v/>
      </c>
    </row>
    <row r="460" spans="1:21" s="101" customFormat="1" ht="15.95" customHeight="1" x14ac:dyDescent="0.2">
      <c r="A460" s="118" t="str">
        <f t="shared" si="27"/>
        <v xml:space="preserve"> </v>
      </c>
      <c r="B460" s="79"/>
      <c r="C460" s="80"/>
      <c r="D460" s="80"/>
      <c r="E460" s="8"/>
      <c r="F460" s="8"/>
      <c r="G460" s="15"/>
      <c r="H460" s="35"/>
      <c r="I460" s="8"/>
      <c r="J460" s="81"/>
      <c r="K460" s="82"/>
      <c r="L460" s="7"/>
      <c r="M460" s="7"/>
      <c r="N460" s="119"/>
      <c r="O460" s="117"/>
      <c r="P460" s="117"/>
      <c r="Q460" s="117"/>
      <c r="R460" s="117"/>
      <c r="S460" s="78">
        <f t="shared" si="24"/>
        <v>0</v>
      </c>
      <c r="T460" s="78" t="str">
        <f t="shared" si="25"/>
        <v>C</v>
      </c>
      <c r="U460" s="83" t="str">
        <f t="shared" si="26"/>
        <v/>
      </c>
    </row>
    <row r="461" spans="1:21" s="101" customFormat="1" ht="15.95" customHeight="1" x14ac:dyDescent="0.2">
      <c r="A461" s="118" t="str">
        <f t="shared" si="27"/>
        <v xml:space="preserve"> </v>
      </c>
      <c r="B461" s="79"/>
      <c r="C461" s="80"/>
      <c r="D461" s="80"/>
      <c r="E461" s="8"/>
      <c r="F461" s="8"/>
      <c r="G461" s="15"/>
      <c r="H461" s="35"/>
      <c r="I461" s="8"/>
      <c r="J461" s="81"/>
      <c r="K461" s="82"/>
      <c r="L461" s="7"/>
      <c r="M461" s="7"/>
      <c r="N461" s="119"/>
      <c r="O461" s="117"/>
      <c r="P461" s="117"/>
      <c r="Q461" s="117"/>
      <c r="R461" s="117"/>
      <c r="S461" s="78">
        <f t="shared" si="24"/>
        <v>0</v>
      </c>
      <c r="T461" s="78" t="str">
        <f t="shared" si="25"/>
        <v>C</v>
      </c>
      <c r="U461" s="83" t="str">
        <f t="shared" si="26"/>
        <v/>
      </c>
    </row>
    <row r="462" spans="1:21" s="101" customFormat="1" ht="15.95" customHeight="1" x14ac:dyDescent="0.2">
      <c r="A462" s="118" t="str">
        <f t="shared" si="27"/>
        <v xml:space="preserve"> </v>
      </c>
      <c r="B462" s="79"/>
      <c r="C462" s="80"/>
      <c r="D462" s="80"/>
      <c r="E462" s="8"/>
      <c r="F462" s="8"/>
      <c r="G462" s="15"/>
      <c r="H462" s="35"/>
      <c r="I462" s="8"/>
      <c r="J462" s="81"/>
      <c r="K462" s="82"/>
      <c r="L462" s="7"/>
      <c r="M462" s="7"/>
      <c r="N462" s="119"/>
      <c r="O462" s="117"/>
      <c r="P462" s="117"/>
      <c r="Q462" s="117"/>
      <c r="R462" s="117"/>
      <c r="S462" s="78">
        <f t="shared" si="24"/>
        <v>0</v>
      </c>
      <c r="T462" s="78" t="str">
        <f t="shared" si="25"/>
        <v>C</v>
      </c>
      <c r="U462" s="83" t="str">
        <f t="shared" si="26"/>
        <v/>
      </c>
    </row>
    <row r="463" spans="1:21" s="101" customFormat="1" ht="15.95" customHeight="1" x14ac:dyDescent="0.2">
      <c r="A463" s="118" t="str">
        <f t="shared" si="27"/>
        <v xml:space="preserve"> </v>
      </c>
      <c r="B463" s="79"/>
      <c r="C463" s="80"/>
      <c r="D463" s="80"/>
      <c r="E463" s="8"/>
      <c r="F463" s="8"/>
      <c r="G463" s="15"/>
      <c r="H463" s="35"/>
      <c r="I463" s="8"/>
      <c r="J463" s="81"/>
      <c r="K463" s="82"/>
      <c r="L463" s="7"/>
      <c r="M463" s="7"/>
      <c r="N463" s="119"/>
      <c r="O463" s="117"/>
      <c r="P463" s="117"/>
      <c r="Q463" s="117"/>
      <c r="R463" s="117"/>
      <c r="S463" s="78">
        <f t="shared" si="24"/>
        <v>0</v>
      </c>
      <c r="T463" s="78" t="str">
        <f t="shared" si="25"/>
        <v>C</v>
      </c>
      <c r="U463" s="83" t="str">
        <f t="shared" si="26"/>
        <v/>
      </c>
    </row>
    <row r="464" spans="1:21" s="101" customFormat="1" ht="15.95" customHeight="1" x14ac:dyDescent="0.2">
      <c r="A464" s="118" t="str">
        <f t="shared" si="27"/>
        <v xml:space="preserve"> </v>
      </c>
      <c r="B464" s="79"/>
      <c r="C464" s="80"/>
      <c r="D464" s="80"/>
      <c r="E464" s="8"/>
      <c r="F464" s="8"/>
      <c r="G464" s="15"/>
      <c r="H464" s="35"/>
      <c r="I464" s="8"/>
      <c r="J464" s="81"/>
      <c r="K464" s="82"/>
      <c r="L464" s="7"/>
      <c r="M464" s="7"/>
      <c r="N464" s="119"/>
      <c r="O464" s="117"/>
      <c r="P464" s="117"/>
      <c r="Q464" s="117"/>
      <c r="R464" s="117"/>
      <c r="S464" s="78">
        <f t="shared" ref="S464:S515" si="28">ROUND(ABS(K464),2)*100</f>
        <v>0</v>
      </c>
      <c r="T464" s="78" t="str">
        <f t="shared" ref="T464:T515" si="29">IF(K464&gt;0,"D","C")</f>
        <v>C</v>
      </c>
      <c r="U464" s="83" t="str">
        <f t="shared" ref="U464:U515" si="30">B464&amp;C464&amp;D464&amp;E464&amp;F464&amp;G464&amp;H464&amp;I464&amp;J464&amp;K464&amp;L464&amp;N464</f>
        <v/>
      </c>
    </row>
    <row r="465" spans="1:21" s="101" customFormat="1" ht="15.95" customHeight="1" x14ac:dyDescent="0.2">
      <c r="A465" s="118" t="str">
        <f t="shared" ref="A465:A515" si="31">IF(U465=""," ",A464+1)</f>
        <v xml:space="preserve"> </v>
      </c>
      <c r="B465" s="79"/>
      <c r="C465" s="80"/>
      <c r="D465" s="80"/>
      <c r="E465" s="8"/>
      <c r="F465" s="8"/>
      <c r="G465" s="15"/>
      <c r="H465" s="35"/>
      <c r="I465" s="8"/>
      <c r="J465" s="81"/>
      <c r="K465" s="82"/>
      <c r="L465" s="7"/>
      <c r="M465" s="7"/>
      <c r="N465" s="119"/>
      <c r="O465" s="117"/>
      <c r="P465" s="117"/>
      <c r="Q465" s="117"/>
      <c r="R465" s="117"/>
      <c r="S465" s="78">
        <f t="shared" si="28"/>
        <v>0</v>
      </c>
      <c r="T465" s="78" t="str">
        <f t="shared" si="29"/>
        <v>C</v>
      </c>
      <c r="U465" s="83" t="str">
        <f t="shared" si="30"/>
        <v/>
      </c>
    </row>
    <row r="466" spans="1:21" s="101" customFormat="1" ht="15.95" customHeight="1" x14ac:dyDescent="0.2">
      <c r="A466" s="118" t="str">
        <f t="shared" si="31"/>
        <v xml:space="preserve"> </v>
      </c>
      <c r="B466" s="79"/>
      <c r="C466" s="80"/>
      <c r="D466" s="80"/>
      <c r="E466" s="8"/>
      <c r="F466" s="8"/>
      <c r="G466" s="15"/>
      <c r="H466" s="35"/>
      <c r="I466" s="8"/>
      <c r="J466" s="81"/>
      <c r="K466" s="82"/>
      <c r="L466" s="7"/>
      <c r="M466" s="7"/>
      <c r="N466" s="119"/>
      <c r="O466" s="117"/>
      <c r="P466" s="117"/>
      <c r="Q466" s="117"/>
      <c r="R466" s="117"/>
      <c r="S466" s="78">
        <f t="shared" si="28"/>
        <v>0</v>
      </c>
      <c r="T466" s="78" t="str">
        <f t="shared" si="29"/>
        <v>C</v>
      </c>
      <c r="U466" s="83" t="str">
        <f t="shared" si="30"/>
        <v/>
      </c>
    </row>
    <row r="467" spans="1:21" s="101" customFormat="1" ht="15.95" customHeight="1" x14ac:dyDescent="0.2">
      <c r="A467" s="118" t="str">
        <f t="shared" si="31"/>
        <v xml:space="preserve"> </v>
      </c>
      <c r="B467" s="79"/>
      <c r="C467" s="80"/>
      <c r="D467" s="80"/>
      <c r="E467" s="8"/>
      <c r="F467" s="8"/>
      <c r="G467" s="15"/>
      <c r="H467" s="35"/>
      <c r="I467" s="8"/>
      <c r="J467" s="81"/>
      <c r="K467" s="82"/>
      <c r="L467" s="7"/>
      <c r="M467" s="7"/>
      <c r="N467" s="119"/>
      <c r="O467" s="117"/>
      <c r="P467" s="117"/>
      <c r="Q467" s="117"/>
      <c r="R467" s="117"/>
      <c r="S467" s="78">
        <f t="shared" si="28"/>
        <v>0</v>
      </c>
      <c r="T467" s="78" t="str">
        <f t="shared" si="29"/>
        <v>C</v>
      </c>
      <c r="U467" s="83" t="str">
        <f t="shared" si="30"/>
        <v/>
      </c>
    </row>
    <row r="468" spans="1:21" s="101" customFormat="1" ht="15.95" customHeight="1" x14ac:dyDescent="0.2">
      <c r="A468" s="118" t="str">
        <f t="shared" si="31"/>
        <v xml:space="preserve"> </v>
      </c>
      <c r="B468" s="79"/>
      <c r="C468" s="80"/>
      <c r="D468" s="80"/>
      <c r="E468" s="8"/>
      <c r="F468" s="8"/>
      <c r="G468" s="15"/>
      <c r="H468" s="35"/>
      <c r="I468" s="8"/>
      <c r="J468" s="81"/>
      <c r="K468" s="82"/>
      <c r="L468" s="7"/>
      <c r="M468" s="7"/>
      <c r="N468" s="119"/>
      <c r="O468" s="117"/>
      <c r="P468" s="117"/>
      <c r="Q468" s="117"/>
      <c r="R468" s="117"/>
      <c r="S468" s="78">
        <f t="shared" si="28"/>
        <v>0</v>
      </c>
      <c r="T468" s="78" t="str">
        <f t="shared" si="29"/>
        <v>C</v>
      </c>
      <c r="U468" s="83" t="str">
        <f t="shared" si="30"/>
        <v/>
      </c>
    </row>
    <row r="469" spans="1:21" s="101" customFormat="1" ht="15.95" customHeight="1" x14ac:dyDescent="0.2">
      <c r="A469" s="118" t="str">
        <f t="shared" si="31"/>
        <v xml:space="preserve"> </v>
      </c>
      <c r="B469" s="79"/>
      <c r="C469" s="80"/>
      <c r="D469" s="80"/>
      <c r="E469" s="8"/>
      <c r="F469" s="8"/>
      <c r="G469" s="15"/>
      <c r="H469" s="35"/>
      <c r="I469" s="8"/>
      <c r="J469" s="81"/>
      <c r="K469" s="82"/>
      <c r="L469" s="7"/>
      <c r="M469" s="7"/>
      <c r="N469" s="119"/>
      <c r="O469" s="117"/>
      <c r="P469" s="117"/>
      <c r="Q469" s="117"/>
      <c r="R469" s="117"/>
      <c r="S469" s="78">
        <f t="shared" si="28"/>
        <v>0</v>
      </c>
      <c r="T469" s="78" t="str">
        <f t="shared" si="29"/>
        <v>C</v>
      </c>
      <c r="U469" s="83" t="str">
        <f t="shared" si="30"/>
        <v/>
      </c>
    </row>
    <row r="470" spans="1:21" s="101" customFormat="1" ht="15.95" customHeight="1" x14ac:dyDescent="0.2">
      <c r="A470" s="118" t="str">
        <f t="shared" si="31"/>
        <v xml:space="preserve"> </v>
      </c>
      <c r="B470" s="79"/>
      <c r="C470" s="80"/>
      <c r="D470" s="80"/>
      <c r="E470" s="8"/>
      <c r="F470" s="8"/>
      <c r="G470" s="15"/>
      <c r="H470" s="35"/>
      <c r="I470" s="8"/>
      <c r="J470" s="81"/>
      <c r="K470" s="82"/>
      <c r="L470" s="7"/>
      <c r="M470" s="7"/>
      <c r="N470" s="119"/>
      <c r="O470" s="117"/>
      <c r="P470" s="117"/>
      <c r="Q470" s="117"/>
      <c r="R470" s="117"/>
      <c r="S470" s="78">
        <f t="shared" si="28"/>
        <v>0</v>
      </c>
      <c r="T470" s="78" t="str">
        <f t="shared" si="29"/>
        <v>C</v>
      </c>
      <c r="U470" s="83" t="str">
        <f t="shared" si="30"/>
        <v/>
      </c>
    </row>
    <row r="471" spans="1:21" s="101" customFormat="1" ht="15.95" customHeight="1" x14ac:dyDescent="0.2">
      <c r="A471" s="118" t="str">
        <f t="shared" si="31"/>
        <v xml:space="preserve"> </v>
      </c>
      <c r="B471" s="79"/>
      <c r="C471" s="80"/>
      <c r="D471" s="80"/>
      <c r="E471" s="8"/>
      <c r="F471" s="8"/>
      <c r="G471" s="15"/>
      <c r="H471" s="35"/>
      <c r="I471" s="8"/>
      <c r="J471" s="81"/>
      <c r="K471" s="82"/>
      <c r="L471" s="7"/>
      <c r="M471" s="7"/>
      <c r="N471" s="119"/>
      <c r="O471" s="117"/>
      <c r="P471" s="117"/>
      <c r="Q471" s="117"/>
      <c r="R471" s="117"/>
      <c r="S471" s="78">
        <f t="shared" si="28"/>
        <v>0</v>
      </c>
      <c r="T471" s="78" t="str">
        <f t="shared" si="29"/>
        <v>C</v>
      </c>
      <c r="U471" s="83" t="str">
        <f t="shared" si="30"/>
        <v/>
      </c>
    </row>
    <row r="472" spans="1:21" s="101" customFormat="1" ht="15.95" customHeight="1" x14ac:dyDescent="0.2">
      <c r="A472" s="118" t="str">
        <f t="shared" si="31"/>
        <v xml:space="preserve"> </v>
      </c>
      <c r="B472" s="79"/>
      <c r="C472" s="80"/>
      <c r="D472" s="80"/>
      <c r="E472" s="8"/>
      <c r="F472" s="8"/>
      <c r="G472" s="15"/>
      <c r="H472" s="35"/>
      <c r="I472" s="8"/>
      <c r="J472" s="81"/>
      <c r="K472" s="82"/>
      <c r="L472" s="7"/>
      <c r="M472" s="7"/>
      <c r="N472" s="119"/>
      <c r="O472" s="117"/>
      <c r="P472" s="117"/>
      <c r="Q472" s="117"/>
      <c r="R472" s="117"/>
      <c r="S472" s="78">
        <f t="shared" si="28"/>
        <v>0</v>
      </c>
      <c r="T472" s="78" t="str">
        <f t="shared" si="29"/>
        <v>C</v>
      </c>
      <c r="U472" s="83" t="str">
        <f t="shared" si="30"/>
        <v/>
      </c>
    </row>
    <row r="473" spans="1:21" s="101" customFormat="1" ht="15.95" customHeight="1" x14ac:dyDescent="0.2">
      <c r="A473" s="118" t="str">
        <f t="shared" si="31"/>
        <v xml:space="preserve"> </v>
      </c>
      <c r="B473" s="79"/>
      <c r="C473" s="80"/>
      <c r="D473" s="80"/>
      <c r="E473" s="8"/>
      <c r="F473" s="8"/>
      <c r="G473" s="15"/>
      <c r="H473" s="35"/>
      <c r="I473" s="8"/>
      <c r="J473" s="81"/>
      <c r="K473" s="82"/>
      <c r="L473" s="7"/>
      <c r="M473" s="7"/>
      <c r="N473" s="119"/>
      <c r="O473" s="117"/>
      <c r="P473" s="117"/>
      <c r="Q473" s="117"/>
      <c r="R473" s="117"/>
      <c r="S473" s="78">
        <f t="shared" si="28"/>
        <v>0</v>
      </c>
      <c r="T473" s="78" t="str">
        <f t="shared" si="29"/>
        <v>C</v>
      </c>
      <c r="U473" s="83" t="str">
        <f t="shared" si="30"/>
        <v/>
      </c>
    </row>
    <row r="474" spans="1:21" s="101" customFormat="1" ht="15.95" customHeight="1" x14ac:dyDescent="0.2">
      <c r="A474" s="118" t="str">
        <f t="shared" si="31"/>
        <v xml:space="preserve"> </v>
      </c>
      <c r="B474" s="79"/>
      <c r="C474" s="80"/>
      <c r="D474" s="80"/>
      <c r="E474" s="8"/>
      <c r="F474" s="8"/>
      <c r="G474" s="15"/>
      <c r="H474" s="35"/>
      <c r="I474" s="8"/>
      <c r="J474" s="81"/>
      <c r="K474" s="82"/>
      <c r="L474" s="7"/>
      <c r="M474" s="7"/>
      <c r="N474" s="119"/>
      <c r="O474" s="117"/>
      <c r="P474" s="117"/>
      <c r="Q474" s="117"/>
      <c r="R474" s="117"/>
      <c r="S474" s="78">
        <f t="shared" si="28"/>
        <v>0</v>
      </c>
      <c r="T474" s="78" t="str">
        <f t="shared" si="29"/>
        <v>C</v>
      </c>
      <c r="U474" s="83" t="str">
        <f t="shared" si="30"/>
        <v/>
      </c>
    </row>
    <row r="475" spans="1:21" s="101" customFormat="1" ht="15.95" customHeight="1" x14ac:dyDescent="0.2">
      <c r="A475" s="118" t="str">
        <f t="shared" si="31"/>
        <v xml:space="preserve"> </v>
      </c>
      <c r="B475" s="79"/>
      <c r="C475" s="80"/>
      <c r="D475" s="80"/>
      <c r="E475" s="8"/>
      <c r="F475" s="8"/>
      <c r="G475" s="15"/>
      <c r="H475" s="35"/>
      <c r="I475" s="8"/>
      <c r="J475" s="81"/>
      <c r="K475" s="82"/>
      <c r="L475" s="7"/>
      <c r="M475" s="7"/>
      <c r="N475" s="119"/>
      <c r="O475" s="117"/>
      <c r="P475" s="117"/>
      <c r="Q475" s="117"/>
      <c r="R475" s="117"/>
      <c r="S475" s="78">
        <f t="shared" si="28"/>
        <v>0</v>
      </c>
      <c r="T475" s="78" t="str">
        <f t="shared" si="29"/>
        <v>C</v>
      </c>
      <c r="U475" s="83" t="str">
        <f t="shared" si="30"/>
        <v/>
      </c>
    </row>
    <row r="476" spans="1:21" s="101" customFormat="1" ht="15.95" customHeight="1" x14ac:dyDescent="0.2">
      <c r="A476" s="118" t="str">
        <f t="shared" si="31"/>
        <v xml:space="preserve"> </v>
      </c>
      <c r="B476" s="79"/>
      <c r="C476" s="80"/>
      <c r="D476" s="80"/>
      <c r="E476" s="8"/>
      <c r="F476" s="8"/>
      <c r="G476" s="15"/>
      <c r="H476" s="35"/>
      <c r="I476" s="8"/>
      <c r="J476" s="81"/>
      <c r="K476" s="82"/>
      <c r="L476" s="7"/>
      <c r="M476" s="7"/>
      <c r="N476" s="119"/>
      <c r="O476" s="117"/>
      <c r="P476" s="117"/>
      <c r="Q476" s="117"/>
      <c r="R476" s="117"/>
      <c r="S476" s="78">
        <f t="shared" si="28"/>
        <v>0</v>
      </c>
      <c r="T476" s="78" t="str">
        <f t="shared" si="29"/>
        <v>C</v>
      </c>
      <c r="U476" s="83" t="str">
        <f t="shared" si="30"/>
        <v/>
      </c>
    </row>
    <row r="477" spans="1:21" s="101" customFormat="1" ht="15.95" customHeight="1" x14ac:dyDescent="0.2">
      <c r="A477" s="118" t="str">
        <f t="shared" si="31"/>
        <v xml:space="preserve"> </v>
      </c>
      <c r="B477" s="79"/>
      <c r="C477" s="80"/>
      <c r="D477" s="80"/>
      <c r="E477" s="8"/>
      <c r="F477" s="8"/>
      <c r="G477" s="15"/>
      <c r="H477" s="35"/>
      <c r="I477" s="8"/>
      <c r="J477" s="81"/>
      <c r="K477" s="82"/>
      <c r="L477" s="7"/>
      <c r="M477" s="7"/>
      <c r="N477" s="119"/>
      <c r="O477" s="117"/>
      <c r="P477" s="117"/>
      <c r="Q477" s="117"/>
      <c r="R477" s="117"/>
      <c r="S477" s="78">
        <f t="shared" si="28"/>
        <v>0</v>
      </c>
      <c r="T477" s="78" t="str">
        <f t="shared" si="29"/>
        <v>C</v>
      </c>
      <c r="U477" s="83" t="str">
        <f t="shared" si="30"/>
        <v/>
      </c>
    </row>
    <row r="478" spans="1:21" s="101" customFormat="1" ht="15.95" customHeight="1" x14ac:dyDescent="0.2">
      <c r="A478" s="118" t="str">
        <f t="shared" si="31"/>
        <v xml:space="preserve"> </v>
      </c>
      <c r="B478" s="79"/>
      <c r="C478" s="80"/>
      <c r="D478" s="80"/>
      <c r="E478" s="8"/>
      <c r="F478" s="8"/>
      <c r="G478" s="15"/>
      <c r="H478" s="35"/>
      <c r="I478" s="8"/>
      <c r="J478" s="81"/>
      <c r="K478" s="82"/>
      <c r="L478" s="7"/>
      <c r="M478" s="7"/>
      <c r="N478" s="119"/>
      <c r="O478" s="117"/>
      <c r="P478" s="117"/>
      <c r="Q478" s="117"/>
      <c r="R478" s="117"/>
      <c r="S478" s="78">
        <f t="shared" si="28"/>
        <v>0</v>
      </c>
      <c r="T478" s="78" t="str">
        <f t="shared" si="29"/>
        <v>C</v>
      </c>
      <c r="U478" s="83" t="str">
        <f t="shared" si="30"/>
        <v/>
      </c>
    </row>
    <row r="479" spans="1:21" s="101" customFormat="1" ht="15.95" customHeight="1" x14ac:dyDescent="0.2">
      <c r="A479" s="118" t="str">
        <f t="shared" si="31"/>
        <v xml:space="preserve"> </v>
      </c>
      <c r="B479" s="79"/>
      <c r="C479" s="80"/>
      <c r="D479" s="80"/>
      <c r="E479" s="8"/>
      <c r="F479" s="8"/>
      <c r="G479" s="15"/>
      <c r="H479" s="35"/>
      <c r="I479" s="8"/>
      <c r="J479" s="81"/>
      <c r="K479" s="82"/>
      <c r="L479" s="7"/>
      <c r="M479" s="7"/>
      <c r="N479" s="119"/>
      <c r="O479" s="117"/>
      <c r="P479" s="117"/>
      <c r="Q479" s="117"/>
      <c r="R479" s="117"/>
      <c r="S479" s="78">
        <f t="shared" si="28"/>
        <v>0</v>
      </c>
      <c r="T479" s="78" t="str">
        <f t="shared" si="29"/>
        <v>C</v>
      </c>
      <c r="U479" s="83" t="str">
        <f t="shared" si="30"/>
        <v/>
      </c>
    </row>
    <row r="480" spans="1:21" s="101" customFormat="1" ht="15.95" customHeight="1" x14ac:dyDescent="0.2">
      <c r="A480" s="118" t="str">
        <f t="shared" si="31"/>
        <v xml:space="preserve"> </v>
      </c>
      <c r="B480" s="79"/>
      <c r="C480" s="80"/>
      <c r="D480" s="80"/>
      <c r="E480" s="8"/>
      <c r="F480" s="8"/>
      <c r="G480" s="15"/>
      <c r="H480" s="35"/>
      <c r="I480" s="8"/>
      <c r="J480" s="81"/>
      <c r="K480" s="82"/>
      <c r="L480" s="7"/>
      <c r="M480" s="7"/>
      <c r="N480" s="119"/>
      <c r="O480" s="117"/>
      <c r="P480" s="117"/>
      <c r="Q480" s="117"/>
      <c r="R480" s="117"/>
      <c r="S480" s="78">
        <f t="shared" si="28"/>
        <v>0</v>
      </c>
      <c r="T480" s="78" t="str">
        <f t="shared" si="29"/>
        <v>C</v>
      </c>
      <c r="U480" s="83" t="str">
        <f t="shared" si="30"/>
        <v/>
      </c>
    </row>
    <row r="481" spans="1:21" s="101" customFormat="1" ht="15.95" customHeight="1" x14ac:dyDescent="0.2">
      <c r="A481" s="118" t="str">
        <f t="shared" si="31"/>
        <v xml:space="preserve"> </v>
      </c>
      <c r="B481" s="79"/>
      <c r="C481" s="80"/>
      <c r="D481" s="80"/>
      <c r="E481" s="8"/>
      <c r="F481" s="8"/>
      <c r="G481" s="15"/>
      <c r="H481" s="35"/>
      <c r="I481" s="8"/>
      <c r="J481" s="81"/>
      <c r="K481" s="82"/>
      <c r="L481" s="7"/>
      <c r="M481" s="7"/>
      <c r="N481" s="119"/>
      <c r="O481" s="117"/>
      <c r="P481" s="117"/>
      <c r="Q481" s="117"/>
      <c r="R481" s="117"/>
      <c r="S481" s="78">
        <f t="shared" si="28"/>
        <v>0</v>
      </c>
      <c r="T481" s="78" t="str">
        <f t="shared" si="29"/>
        <v>C</v>
      </c>
      <c r="U481" s="83" t="str">
        <f t="shared" si="30"/>
        <v/>
      </c>
    </row>
    <row r="482" spans="1:21" s="101" customFormat="1" ht="15.95" customHeight="1" x14ac:dyDescent="0.2">
      <c r="A482" s="118" t="str">
        <f t="shared" si="31"/>
        <v xml:space="preserve"> </v>
      </c>
      <c r="B482" s="79"/>
      <c r="C482" s="80"/>
      <c r="D482" s="80"/>
      <c r="E482" s="8"/>
      <c r="F482" s="8"/>
      <c r="G482" s="15"/>
      <c r="H482" s="35"/>
      <c r="I482" s="8"/>
      <c r="J482" s="81"/>
      <c r="K482" s="82"/>
      <c r="L482" s="7"/>
      <c r="M482" s="7"/>
      <c r="N482" s="119"/>
      <c r="O482" s="117"/>
      <c r="P482" s="117"/>
      <c r="Q482" s="117"/>
      <c r="R482" s="117"/>
      <c r="S482" s="78">
        <f t="shared" si="28"/>
        <v>0</v>
      </c>
      <c r="T482" s="78" t="str">
        <f t="shared" si="29"/>
        <v>C</v>
      </c>
      <c r="U482" s="83" t="str">
        <f t="shared" si="30"/>
        <v/>
      </c>
    </row>
    <row r="483" spans="1:21" s="101" customFormat="1" ht="15.95" customHeight="1" x14ac:dyDescent="0.2">
      <c r="A483" s="118" t="str">
        <f t="shared" si="31"/>
        <v xml:space="preserve"> </v>
      </c>
      <c r="B483" s="79"/>
      <c r="C483" s="80"/>
      <c r="D483" s="80"/>
      <c r="E483" s="8"/>
      <c r="F483" s="8"/>
      <c r="G483" s="15"/>
      <c r="H483" s="35"/>
      <c r="I483" s="8"/>
      <c r="J483" s="81"/>
      <c r="K483" s="82"/>
      <c r="L483" s="7"/>
      <c r="M483" s="7"/>
      <c r="N483" s="119"/>
      <c r="O483" s="117"/>
      <c r="P483" s="117"/>
      <c r="Q483" s="117"/>
      <c r="R483" s="117"/>
      <c r="S483" s="78">
        <f t="shared" si="28"/>
        <v>0</v>
      </c>
      <c r="T483" s="78" t="str">
        <f t="shared" si="29"/>
        <v>C</v>
      </c>
      <c r="U483" s="83" t="str">
        <f t="shared" si="30"/>
        <v/>
      </c>
    </row>
    <row r="484" spans="1:21" s="101" customFormat="1" ht="15.95" customHeight="1" x14ac:dyDescent="0.2">
      <c r="A484" s="118" t="str">
        <f t="shared" si="31"/>
        <v xml:space="preserve"> </v>
      </c>
      <c r="B484" s="79"/>
      <c r="C484" s="80"/>
      <c r="D484" s="80"/>
      <c r="E484" s="8"/>
      <c r="F484" s="8"/>
      <c r="G484" s="15"/>
      <c r="H484" s="35"/>
      <c r="I484" s="8"/>
      <c r="J484" s="81"/>
      <c r="K484" s="82"/>
      <c r="L484" s="7"/>
      <c r="M484" s="7"/>
      <c r="N484" s="119"/>
      <c r="O484" s="117"/>
      <c r="P484" s="117"/>
      <c r="Q484" s="117"/>
      <c r="R484" s="117"/>
      <c r="S484" s="78">
        <f t="shared" si="28"/>
        <v>0</v>
      </c>
      <c r="T484" s="78" t="str">
        <f t="shared" si="29"/>
        <v>C</v>
      </c>
      <c r="U484" s="83" t="str">
        <f t="shared" si="30"/>
        <v/>
      </c>
    </row>
    <row r="485" spans="1:21" s="101" customFormat="1" ht="15.95" customHeight="1" x14ac:dyDescent="0.2">
      <c r="A485" s="118" t="str">
        <f t="shared" si="31"/>
        <v xml:space="preserve"> </v>
      </c>
      <c r="B485" s="79"/>
      <c r="C485" s="80"/>
      <c r="D485" s="80"/>
      <c r="E485" s="8"/>
      <c r="F485" s="8"/>
      <c r="G485" s="15"/>
      <c r="H485" s="35"/>
      <c r="I485" s="8"/>
      <c r="J485" s="81"/>
      <c r="K485" s="82"/>
      <c r="L485" s="7"/>
      <c r="M485" s="7"/>
      <c r="N485" s="119"/>
      <c r="O485" s="117"/>
      <c r="P485" s="117"/>
      <c r="Q485" s="117"/>
      <c r="R485" s="117"/>
      <c r="S485" s="78">
        <f t="shared" si="28"/>
        <v>0</v>
      </c>
      <c r="T485" s="78" t="str">
        <f t="shared" si="29"/>
        <v>C</v>
      </c>
      <c r="U485" s="83" t="str">
        <f t="shared" si="30"/>
        <v/>
      </c>
    </row>
    <row r="486" spans="1:21" s="101" customFormat="1" ht="15.95" customHeight="1" x14ac:dyDescent="0.2">
      <c r="A486" s="118" t="str">
        <f t="shared" si="31"/>
        <v xml:space="preserve"> </v>
      </c>
      <c r="B486" s="79"/>
      <c r="C486" s="80"/>
      <c r="D486" s="80"/>
      <c r="E486" s="8"/>
      <c r="F486" s="8"/>
      <c r="G486" s="15"/>
      <c r="H486" s="35"/>
      <c r="I486" s="8"/>
      <c r="J486" s="81"/>
      <c r="K486" s="82"/>
      <c r="L486" s="7"/>
      <c r="M486" s="7"/>
      <c r="N486" s="119"/>
      <c r="O486" s="117"/>
      <c r="P486" s="117"/>
      <c r="Q486" s="117"/>
      <c r="R486" s="117"/>
      <c r="S486" s="78">
        <f t="shared" si="28"/>
        <v>0</v>
      </c>
      <c r="T486" s="78" t="str">
        <f t="shared" si="29"/>
        <v>C</v>
      </c>
      <c r="U486" s="83" t="str">
        <f t="shared" si="30"/>
        <v/>
      </c>
    </row>
    <row r="487" spans="1:21" s="101" customFormat="1" ht="15.95" customHeight="1" x14ac:dyDescent="0.2">
      <c r="A487" s="118" t="str">
        <f t="shared" si="31"/>
        <v xml:space="preserve"> </v>
      </c>
      <c r="B487" s="79"/>
      <c r="C487" s="80"/>
      <c r="D487" s="80"/>
      <c r="E487" s="8"/>
      <c r="F487" s="8"/>
      <c r="G487" s="15"/>
      <c r="H487" s="35"/>
      <c r="I487" s="8"/>
      <c r="J487" s="81"/>
      <c r="K487" s="82"/>
      <c r="L487" s="7"/>
      <c r="M487" s="7"/>
      <c r="N487" s="119"/>
      <c r="O487" s="117"/>
      <c r="P487" s="117"/>
      <c r="Q487" s="117"/>
      <c r="R487" s="117"/>
      <c r="S487" s="78">
        <f t="shared" si="28"/>
        <v>0</v>
      </c>
      <c r="T487" s="78" t="str">
        <f t="shared" si="29"/>
        <v>C</v>
      </c>
      <c r="U487" s="83" t="str">
        <f t="shared" si="30"/>
        <v/>
      </c>
    </row>
    <row r="488" spans="1:21" s="101" customFormat="1" ht="15.95" customHeight="1" x14ac:dyDescent="0.2">
      <c r="A488" s="118" t="str">
        <f t="shared" si="31"/>
        <v xml:space="preserve"> </v>
      </c>
      <c r="B488" s="79"/>
      <c r="C488" s="80"/>
      <c r="D488" s="80"/>
      <c r="E488" s="8"/>
      <c r="F488" s="8"/>
      <c r="G488" s="15"/>
      <c r="H488" s="35"/>
      <c r="I488" s="8"/>
      <c r="J488" s="81"/>
      <c r="K488" s="82"/>
      <c r="L488" s="7"/>
      <c r="M488" s="7"/>
      <c r="N488" s="119"/>
      <c r="O488" s="117"/>
      <c r="P488" s="117"/>
      <c r="Q488" s="117"/>
      <c r="R488" s="117"/>
      <c r="S488" s="78">
        <f t="shared" si="28"/>
        <v>0</v>
      </c>
      <c r="T488" s="78" t="str">
        <f t="shared" si="29"/>
        <v>C</v>
      </c>
      <c r="U488" s="83" t="str">
        <f t="shared" si="30"/>
        <v/>
      </c>
    </row>
    <row r="489" spans="1:21" s="101" customFormat="1" ht="15.95" customHeight="1" x14ac:dyDescent="0.2">
      <c r="A489" s="118" t="str">
        <f t="shared" si="31"/>
        <v xml:space="preserve"> </v>
      </c>
      <c r="B489" s="79"/>
      <c r="C489" s="80"/>
      <c r="D489" s="80"/>
      <c r="E489" s="8"/>
      <c r="F489" s="8"/>
      <c r="G489" s="15"/>
      <c r="H489" s="35"/>
      <c r="I489" s="8"/>
      <c r="J489" s="81"/>
      <c r="K489" s="82"/>
      <c r="L489" s="7"/>
      <c r="M489" s="7"/>
      <c r="N489" s="119"/>
      <c r="O489" s="117"/>
      <c r="P489" s="117"/>
      <c r="Q489" s="117"/>
      <c r="R489" s="117"/>
      <c r="S489" s="78">
        <f t="shared" si="28"/>
        <v>0</v>
      </c>
      <c r="T489" s="78" t="str">
        <f t="shared" si="29"/>
        <v>C</v>
      </c>
      <c r="U489" s="83" t="str">
        <f t="shared" si="30"/>
        <v/>
      </c>
    </row>
    <row r="490" spans="1:21" s="101" customFormat="1" ht="15.95" customHeight="1" x14ac:dyDescent="0.2">
      <c r="A490" s="118" t="str">
        <f t="shared" si="31"/>
        <v xml:space="preserve"> </v>
      </c>
      <c r="B490" s="79"/>
      <c r="C490" s="80"/>
      <c r="D490" s="80"/>
      <c r="E490" s="8"/>
      <c r="F490" s="8"/>
      <c r="G490" s="15"/>
      <c r="H490" s="35"/>
      <c r="I490" s="8"/>
      <c r="J490" s="81"/>
      <c r="K490" s="82"/>
      <c r="L490" s="7"/>
      <c r="M490" s="7"/>
      <c r="N490" s="119"/>
      <c r="O490" s="117"/>
      <c r="P490" s="117"/>
      <c r="Q490" s="117"/>
      <c r="R490" s="117"/>
      <c r="S490" s="78">
        <f t="shared" si="28"/>
        <v>0</v>
      </c>
      <c r="T490" s="78" t="str">
        <f t="shared" si="29"/>
        <v>C</v>
      </c>
      <c r="U490" s="83" t="str">
        <f t="shared" si="30"/>
        <v/>
      </c>
    </row>
    <row r="491" spans="1:21" s="101" customFormat="1" ht="15.95" customHeight="1" x14ac:dyDescent="0.2">
      <c r="A491" s="118" t="str">
        <f t="shared" si="31"/>
        <v xml:space="preserve"> </v>
      </c>
      <c r="B491" s="79"/>
      <c r="C491" s="80"/>
      <c r="D491" s="80"/>
      <c r="E491" s="8"/>
      <c r="F491" s="8"/>
      <c r="G491" s="15"/>
      <c r="H491" s="35"/>
      <c r="I491" s="8"/>
      <c r="J491" s="81"/>
      <c r="K491" s="82"/>
      <c r="L491" s="7"/>
      <c r="M491" s="7"/>
      <c r="N491" s="119"/>
      <c r="O491" s="117"/>
      <c r="P491" s="117"/>
      <c r="Q491" s="117"/>
      <c r="R491" s="117"/>
      <c r="S491" s="78">
        <f t="shared" si="28"/>
        <v>0</v>
      </c>
      <c r="T491" s="78" t="str">
        <f t="shared" si="29"/>
        <v>C</v>
      </c>
      <c r="U491" s="83" t="str">
        <f t="shared" si="30"/>
        <v/>
      </c>
    </row>
    <row r="492" spans="1:21" s="101" customFormat="1" ht="15.95" customHeight="1" x14ac:dyDescent="0.2">
      <c r="A492" s="118" t="str">
        <f t="shared" si="31"/>
        <v xml:space="preserve"> </v>
      </c>
      <c r="B492" s="79"/>
      <c r="C492" s="80"/>
      <c r="D492" s="80"/>
      <c r="E492" s="8"/>
      <c r="F492" s="8"/>
      <c r="G492" s="15"/>
      <c r="H492" s="35"/>
      <c r="I492" s="8"/>
      <c r="J492" s="81"/>
      <c r="K492" s="82"/>
      <c r="L492" s="7"/>
      <c r="M492" s="7"/>
      <c r="N492" s="119"/>
      <c r="O492" s="117"/>
      <c r="P492" s="117"/>
      <c r="Q492" s="117"/>
      <c r="R492" s="117"/>
      <c r="S492" s="78">
        <f t="shared" si="28"/>
        <v>0</v>
      </c>
      <c r="T492" s="78" t="str">
        <f t="shared" si="29"/>
        <v>C</v>
      </c>
      <c r="U492" s="83" t="str">
        <f t="shared" si="30"/>
        <v/>
      </c>
    </row>
    <row r="493" spans="1:21" s="101" customFormat="1" ht="15.95" customHeight="1" x14ac:dyDescent="0.2">
      <c r="A493" s="118" t="str">
        <f t="shared" si="31"/>
        <v xml:space="preserve"> </v>
      </c>
      <c r="B493" s="79"/>
      <c r="C493" s="80"/>
      <c r="D493" s="80"/>
      <c r="E493" s="8"/>
      <c r="F493" s="8"/>
      <c r="G493" s="15"/>
      <c r="H493" s="35"/>
      <c r="I493" s="8"/>
      <c r="J493" s="81"/>
      <c r="K493" s="82"/>
      <c r="L493" s="7"/>
      <c r="M493" s="7"/>
      <c r="N493" s="119"/>
      <c r="O493" s="117"/>
      <c r="P493" s="117"/>
      <c r="Q493" s="117"/>
      <c r="R493" s="117"/>
      <c r="S493" s="78">
        <f t="shared" si="28"/>
        <v>0</v>
      </c>
      <c r="T493" s="78" t="str">
        <f t="shared" si="29"/>
        <v>C</v>
      </c>
      <c r="U493" s="83" t="str">
        <f t="shared" si="30"/>
        <v/>
      </c>
    </row>
    <row r="494" spans="1:21" s="101" customFormat="1" ht="15.95" customHeight="1" x14ac:dyDescent="0.2">
      <c r="A494" s="118" t="str">
        <f t="shared" si="31"/>
        <v xml:space="preserve"> </v>
      </c>
      <c r="B494" s="79"/>
      <c r="C494" s="80"/>
      <c r="D494" s="80"/>
      <c r="E494" s="8"/>
      <c r="F494" s="8"/>
      <c r="G494" s="15"/>
      <c r="H494" s="35"/>
      <c r="I494" s="8"/>
      <c r="J494" s="81"/>
      <c r="K494" s="82"/>
      <c r="L494" s="7"/>
      <c r="M494" s="7"/>
      <c r="N494" s="119"/>
      <c r="O494" s="117"/>
      <c r="P494" s="117"/>
      <c r="Q494" s="117"/>
      <c r="R494" s="117"/>
      <c r="S494" s="78">
        <f t="shared" si="28"/>
        <v>0</v>
      </c>
      <c r="T494" s="78" t="str">
        <f t="shared" si="29"/>
        <v>C</v>
      </c>
      <c r="U494" s="83" t="str">
        <f t="shared" si="30"/>
        <v/>
      </c>
    </row>
    <row r="495" spans="1:21" s="101" customFormat="1" ht="15.95" customHeight="1" x14ac:dyDescent="0.2">
      <c r="A495" s="118" t="str">
        <f t="shared" si="31"/>
        <v xml:space="preserve"> </v>
      </c>
      <c r="B495" s="79"/>
      <c r="C495" s="80"/>
      <c r="D495" s="80"/>
      <c r="E495" s="8"/>
      <c r="F495" s="8"/>
      <c r="G495" s="15"/>
      <c r="H495" s="35"/>
      <c r="I495" s="8"/>
      <c r="J495" s="81"/>
      <c r="K495" s="82"/>
      <c r="L495" s="7"/>
      <c r="M495" s="7"/>
      <c r="N495" s="119"/>
      <c r="O495" s="117"/>
      <c r="P495" s="117"/>
      <c r="Q495" s="117"/>
      <c r="R495" s="117"/>
      <c r="S495" s="78">
        <f t="shared" si="28"/>
        <v>0</v>
      </c>
      <c r="T495" s="78" t="str">
        <f t="shared" si="29"/>
        <v>C</v>
      </c>
      <c r="U495" s="83" t="str">
        <f t="shared" si="30"/>
        <v/>
      </c>
    </row>
    <row r="496" spans="1:21" s="101" customFormat="1" ht="15.95" customHeight="1" x14ac:dyDescent="0.2">
      <c r="A496" s="118" t="str">
        <f t="shared" si="31"/>
        <v xml:space="preserve"> </v>
      </c>
      <c r="B496" s="79"/>
      <c r="C496" s="80"/>
      <c r="D496" s="80"/>
      <c r="E496" s="8"/>
      <c r="F496" s="8"/>
      <c r="G496" s="15"/>
      <c r="H496" s="35"/>
      <c r="I496" s="8"/>
      <c r="J496" s="81"/>
      <c r="K496" s="82"/>
      <c r="L496" s="7"/>
      <c r="M496" s="7"/>
      <c r="N496" s="119"/>
      <c r="O496" s="117"/>
      <c r="P496" s="117"/>
      <c r="Q496" s="117"/>
      <c r="R496" s="117"/>
      <c r="S496" s="78">
        <f t="shared" si="28"/>
        <v>0</v>
      </c>
      <c r="T496" s="78" t="str">
        <f t="shared" si="29"/>
        <v>C</v>
      </c>
      <c r="U496" s="83" t="str">
        <f t="shared" si="30"/>
        <v/>
      </c>
    </row>
    <row r="497" spans="1:21" s="101" customFormat="1" ht="15.95" customHeight="1" x14ac:dyDescent="0.2">
      <c r="A497" s="118" t="str">
        <f t="shared" si="31"/>
        <v xml:space="preserve"> </v>
      </c>
      <c r="B497" s="79"/>
      <c r="C497" s="80"/>
      <c r="D497" s="80"/>
      <c r="E497" s="8"/>
      <c r="F497" s="8"/>
      <c r="G497" s="15"/>
      <c r="H497" s="35"/>
      <c r="I497" s="8"/>
      <c r="J497" s="81"/>
      <c r="K497" s="82"/>
      <c r="L497" s="7"/>
      <c r="M497" s="7"/>
      <c r="N497" s="119"/>
      <c r="O497" s="117"/>
      <c r="P497" s="117"/>
      <c r="Q497" s="117"/>
      <c r="R497" s="117"/>
      <c r="S497" s="78">
        <f t="shared" si="28"/>
        <v>0</v>
      </c>
      <c r="T497" s="78" t="str">
        <f t="shared" si="29"/>
        <v>C</v>
      </c>
      <c r="U497" s="83" t="str">
        <f t="shared" si="30"/>
        <v/>
      </c>
    </row>
    <row r="498" spans="1:21" s="101" customFormat="1" ht="15.95" customHeight="1" x14ac:dyDescent="0.2">
      <c r="A498" s="118" t="str">
        <f t="shared" si="31"/>
        <v xml:space="preserve"> </v>
      </c>
      <c r="B498" s="79"/>
      <c r="C498" s="80"/>
      <c r="D498" s="80"/>
      <c r="E498" s="8"/>
      <c r="F498" s="8"/>
      <c r="G498" s="15"/>
      <c r="H498" s="35"/>
      <c r="I498" s="8"/>
      <c r="J498" s="81"/>
      <c r="K498" s="82"/>
      <c r="L498" s="7"/>
      <c r="M498" s="7"/>
      <c r="N498" s="119"/>
      <c r="O498" s="117"/>
      <c r="P498" s="117"/>
      <c r="Q498" s="117"/>
      <c r="R498" s="117"/>
      <c r="S498" s="78">
        <f t="shared" si="28"/>
        <v>0</v>
      </c>
      <c r="T498" s="78" t="str">
        <f t="shared" si="29"/>
        <v>C</v>
      </c>
      <c r="U498" s="83" t="str">
        <f t="shared" si="30"/>
        <v/>
      </c>
    </row>
    <row r="499" spans="1:21" s="101" customFormat="1" ht="15.95" customHeight="1" x14ac:dyDescent="0.2">
      <c r="A499" s="118" t="str">
        <f t="shared" si="31"/>
        <v xml:space="preserve"> </v>
      </c>
      <c r="B499" s="79"/>
      <c r="C499" s="80"/>
      <c r="D499" s="80"/>
      <c r="E499" s="8"/>
      <c r="F499" s="8"/>
      <c r="G499" s="15"/>
      <c r="H499" s="35"/>
      <c r="I499" s="8"/>
      <c r="J499" s="81"/>
      <c r="K499" s="82"/>
      <c r="L499" s="7"/>
      <c r="M499" s="7"/>
      <c r="N499" s="119"/>
      <c r="O499" s="117"/>
      <c r="P499" s="117"/>
      <c r="Q499" s="117"/>
      <c r="R499" s="117"/>
      <c r="S499" s="78">
        <f t="shared" si="28"/>
        <v>0</v>
      </c>
      <c r="T499" s="78" t="str">
        <f t="shared" si="29"/>
        <v>C</v>
      </c>
      <c r="U499" s="83" t="str">
        <f t="shared" si="30"/>
        <v/>
      </c>
    </row>
    <row r="500" spans="1:21" s="101" customFormat="1" ht="15.95" customHeight="1" x14ac:dyDescent="0.2">
      <c r="A500" s="118" t="str">
        <f t="shared" si="31"/>
        <v xml:space="preserve"> </v>
      </c>
      <c r="B500" s="79"/>
      <c r="C500" s="80"/>
      <c r="D500" s="80"/>
      <c r="E500" s="8"/>
      <c r="F500" s="8"/>
      <c r="G500" s="15"/>
      <c r="H500" s="35"/>
      <c r="I500" s="8"/>
      <c r="J500" s="81"/>
      <c r="K500" s="82"/>
      <c r="L500" s="7"/>
      <c r="M500" s="7"/>
      <c r="N500" s="119"/>
      <c r="O500" s="117"/>
      <c r="P500" s="117"/>
      <c r="Q500" s="117"/>
      <c r="R500" s="117"/>
      <c r="S500" s="78">
        <f t="shared" si="28"/>
        <v>0</v>
      </c>
      <c r="T500" s="78" t="str">
        <f t="shared" si="29"/>
        <v>C</v>
      </c>
      <c r="U500" s="83" t="str">
        <f t="shared" si="30"/>
        <v/>
      </c>
    </row>
    <row r="501" spans="1:21" s="101" customFormat="1" ht="15.95" customHeight="1" x14ac:dyDescent="0.2">
      <c r="A501" s="118" t="str">
        <f t="shared" si="31"/>
        <v xml:space="preserve"> </v>
      </c>
      <c r="B501" s="79"/>
      <c r="C501" s="80"/>
      <c r="D501" s="80"/>
      <c r="E501" s="8"/>
      <c r="F501" s="8"/>
      <c r="G501" s="15"/>
      <c r="H501" s="35"/>
      <c r="I501" s="8"/>
      <c r="J501" s="81"/>
      <c r="K501" s="82"/>
      <c r="L501" s="7"/>
      <c r="M501" s="7"/>
      <c r="N501" s="119"/>
      <c r="O501" s="117"/>
      <c r="P501" s="117"/>
      <c r="Q501" s="117"/>
      <c r="R501" s="117"/>
      <c r="S501" s="78">
        <f t="shared" si="28"/>
        <v>0</v>
      </c>
      <c r="T501" s="78" t="str">
        <f t="shared" si="29"/>
        <v>C</v>
      </c>
      <c r="U501" s="83" t="str">
        <f t="shared" si="30"/>
        <v/>
      </c>
    </row>
    <row r="502" spans="1:21" s="101" customFormat="1" ht="15.95" customHeight="1" x14ac:dyDescent="0.2">
      <c r="A502" s="118" t="str">
        <f t="shared" si="31"/>
        <v xml:space="preserve"> </v>
      </c>
      <c r="B502" s="79"/>
      <c r="C502" s="80"/>
      <c r="D502" s="80"/>
      <c r="E502" s="8"/>
      <c r="F502" s="8"/>
      <c r="G502" s="15"/>
      <c r="H502" s="35"/>
      <c r="I502" s="8"/>
      <c r="J502" s="81"/>
      <c r="K502" s="82"/>
      <c r="L502" s="7"/>
      <c r="M502" s="7"/>
      <c r="N502" s="119"/>
      <c r="O502" s="117"/>
      <c r="P502" s="117"/>
      <c r="Q502" s="117"/>
      <c r="R502" s="117"/>
      <c r="S502" s="78">
        <f t="shared" si="28"/>
        <v>0</v>
      </c>
      <c r="T502" s="78" t="str">
        <f t="shared" si="29"/>
        <v>C</v>
      </c>
      <c r="U502" s="83" t="str">
        <f t="shared" si="30"/>
        <v/>
      </c>
    </row>
    <row r="503" spans="1:21" s="101" customFormat="1" ht="15.95" customHeight="1" x14ac:dyDescent="0.2">
      <c r="A503" s="118" t="str">
        <f t="shared" si="31"/>
        <v xml:space="preserve"> </v>
      </c>
      <c r="B503" s="79"/>
      <c r="C503" s="80"/>
      <c r="D503" s="80"/>
      <c r="E503" s="8"/>
      <c r="F503" s="8"/>
      <c r="G503" s="15"/>
      <c r="H503" s="35"/>
      <c r="I503" s="8"/>
      <c r="J503" s="81"/>
      <c r="K503" s="82"/>
      <c r="L503" s="7"/>
      <c r="M503" s="7"/>
      <c r="N503" s="119"/>
      <c r="O503" s="117"/>
      <c r="P503" s="117"/>
      <c r="Q503" s="117"/>
      <c r="R503" s="117"/>
      <c r="S503" s="78">
        <f t="shared" si="28"/>
        <v>0</v>
      </c>
      <c r="T503" s="78" t="str">
        <f t="shared" si="29"/>
        <v>C</v>
      </c>
      <c r="U503" s="83" t="str">
        <f t="shared" si="30"/>
        <v/>
      </c>
    </row>
    <row r="504" spans="1:21" s="101" customFormat="1" ht="15.95" customHeight="1" x14ac:dyDescent="0.2">
      <c r="A504" s="118" t="str">
        <f t="shared" si="31"/>
        <v xml:space="preserve"> </v>
      </c>
      <c r="B504" s="79"/>
      <c r="C504" s="80"/>
      <c r="D504" s="80"/>
      <c r="E504" s="8"/>
      <c r="F504" s="8"/>
      <c r="G504" s="15"/>
      <c r="H504" s="35"/>
      <c r="I504" s="8"/>
      <c r="J504" s="81"/>
      <c r="K504" s="82"/>
      <c r="L504" s="7"/>
      <c r="M504" s="7"/>
      <c r="N504" s="119"/>
      <c r="O504" s="117"/>
      <c r="P504" s="117"/>
      <c r="Q504" s="117"/>
      <c r="R504" s="117"/>
      <c r="S504" s="78">
        <f t="shared" si="28"/>
        <v>0</v>
      </c>
      <c r="T504" s="78" t="str">
        <f t="shared" si="29"/>
        <v>C</v>
      </c>
      <c r="U504" s="83" t="str">
        <f t="shared" si="30"/>
        <v/>
      </c>
    </row>
    <row r="505" spans="1:21" s="101" customFormat="1" ht="15.95" customHeight="1" x14ac:dyDescent="0.2">
      <c r="A505" s="118" t="str">
        <f t="shared" si="31"/>
        <v xml:space="preserve"> </v>
      </c>
      <c r="B505" s="79"/>
      <c r="C505" s="80"/>
      <c r="D505" s="80"/>
      <c r="E505" s="8"/>
      <c r="F505" s="8"/>
      <c r="G505" s="15"/>
      <c r="H505" s="35"/>
      <c r="I505" s="8"/>
      <c r="J505" s="81"/>
      <c r="K505" s="82"/>
      <c r="L505" s="7"/>
      <c r="M505" s="7"/>
      <c r="N505" s="119"/>
      <c r="O505" s="117"/>
      <c r="P505" s="117"/>
      <c r="Q505" s="117"/>
      <c r="R505" s="117"/>
      <c r="S505" s="78">
        <f t="shared" si="28"/>
        <v>0</v>
      </c>
      <c r="T505" s="78" t="str">
        <f t="shared" si="29"/>
        <v>C</v>
      </c>
      <c r="U505" s="83" t="str">
        <f t="shared" si="30"/>
        <v/>
      </c>
    </row>
    <row r="506" spans="1:21" s="101" customFormat="1" ht="15.95" customHeight="1" x14ac:dyDescent="0.2">
      <c r="A506" s="118" t="str">
        <f t="shared" si="31"/>
        <v xml:space="preserve"> </v>
      </c>
      <c r="B506" s="79"/>
      <c r="C506" s="80"/>
      <c r="D506" s="80"/>
      <c r="E506" s="8"/>
      <c r="F506" s="8"/>
      <c r="G506" s="15"/>
      <c r="H506" s="35"/>
      <c r="I506" s="8"/>
      <c r="J506" s="81"/>
      <c r="K506" s="82"/>
      <c r="L506" s="7"/>
      <c r="M506" s="7"/>
      <c r="N506" s="119"/>
      <c r="O506" s="117"/>
      <c r="P506" s="117"/>
      <c r="Q506" s="117"/>
      <c r="R506" s="117"/>
      <c r="S506" s="78">
        <f t="shared" si="28"/>
        <v>0</v>
      </c>
      <c r="T506" s="78" t="str">
        <f t="shared" si="29"/>
        <v>C</v>
      </c>
      <c r="U506" s="83" t="str">
        <f t="shared" si="30"/>
        <v/>
      </c>
    </row>
    <row r="507" spans="1:21" s="101" customFormat="1" ht="15.95" customHeight="1" x14ac:dyDescent="0.2">
      <c r="A507" s="118" t="str">
        <f t="shared" si="31"/>
        <v xml:space="preserve"> </v>
      </c>
      <c r="B507" s="79"/>
      <c r="C507" s="80"/>
      <c r="D507" s="80"/>
      <c r="E507" s="8"/>
      <c r="F507" s="8"/>
      <c r="G507" s="15"/>
      <c r="H507" s="35"/>
      <c r="I507" s="8"/>
      <c r="J507" s="81"/>
      <c r="K507" s="82"/>
      <c r="L507" s="7"/>
      <c r="M507" s="7"/>
      <c r="N507" s="119"/>
      <c r="O507" s="117"/>
      <c r="P507" s="117"/>
      <c r="Q507" s="117"/>
      <c r="R507" s="117"/>
      <c r="S507" s="78">
        <f t="shared" si="28"/>
        <v>0</v>
      </c>
      <c r="T507" s="78" t="str">
        <f t="shared" si="29"/>
        <v>C</v>
      </c>
      <c r="U507" s="83" t="str">
        <f t="shared" si="30"/>
        <v/>
      </c>
    </row>
    <row r="508" spans="1:21" s="101" customFormat="1" ht="15.95" customHeight="1" x14ac:dyDescent="0.2">
      <c r="A508" s="118" t="str">
        <f t="shared" si="31"/>
        <v xml:space="preserve"> </v>
      </c>
      <c r="B508" s="79"/>
      <c r="C508" s="80"/>
      <c r="D508" s="80"/>
      <c r="E508" s="8"/>
      <c r="F508" s="8"/>
      <c r="G508" s="15"/>
      <c r="H508" s="35"/>
      <c r="I508" s="8"/>
      <c r="J508" s="81"/>
      <c r="K508" s="82"/>
      <c r="L508" s="7"/>
      <c r="M508" s="7"/>
      <c r="N508" s="119"/>
      <c r="O508" s="117"/>
      <c r="P508" s="117"/>
      <c r="Q508" s="117"/>
      <c r="R508" s="117"/>
      <c r="S508" s="78">
        <f t="shared" si="28"/>
        <v>0</v>
      </c>
      <c r="T508" s="78" t="str">
        <f t="shared" si="29"/>
        <v>C</v>
      </c>
      <c r="U508" s="83" t="str">
        <f t="shared" si="30"/>
        <v/>
      </c>
    </row>
    <row r="509" spans="1:21" s="101" customFormat="1" ht="15.95" customHeight="1" x14ac:dyDescent="0.2">
      <c r="A509" s="118" t="str">
        <f t="shared" si="31"/>
        <v xml:space="preserve"> </v>
      </c>
      <c r="B509" s="79"/>
      <c r="C509" s="80"/>
      <c r="D509" s="80"/>
      <c r="E509" s="8"/>
      <c r="F509" s="8"/>
      <c r="G509" s="15"/>
      <c r="H509" s="35"/>
      <c r="I509" s="8"/>
      <c r="J509" s="81"/>
      <c r="K509" s="82"/>
      <c r="L509" s="7"/>
      <c r="M509" s="7"/>
      <c r="N509" s="119"/>
      <c r="O509" s="117"/>
      <c r="P509" s="117"/>
      <c r="Q509" s="117"/>
      <c r="R509" s="117"/>
      <c r="S509" s="78">
        <f t="shared" si="28"/>
        <v>0</v>
      </c>
      <c r="T509" s="78" t="str">
        <f t="shared" si="29"/>
        <v>C</v>
      </c>
      <c r="U509" s="83" t="str">
        <f t="shared" si="30"/>
        <v/>
      </c>
    </row>
    <row r="510" spans="1:21" s="101" customFormat="1" ht="15.95" customHeight="1" x14ac:dyDescent="0.2">
      <c r="A510" s="118" t="str">
        <f t="shared" si="31"/>
        <v xml:space="preserve"> </v>
      </c>
      <c r="B510" s="79"/>
      <c r="C510" s="80"/>
      <c r="D510" s="80"/>
      <c r="E510" s="8"/>
      <c r="F510" s="8"/>
      <c r="G510" s="15"/>
      <c r="H510" s="35"/>
      <c r="I510" s="8"/>
      <c r="J510" s="81"/>
      <c r="K510" s="82"/>
      <c r="L510" s="7"/>
      <c r="M510" s="7"/>
      <c r="N510" s="119"/>
      <c r="O510" s="117"/>
      <c r="P510" s="117"/>
      <c r="Q510" s="117"/>
      <c r="R510" s="117"/>
      <c r="S510" s="78">
        <f t="shared" si="28"/>
        <v>0</v>
      </c>
      <c r="T510" s="78" t="str">
        <f t="shared" si="29"/>
        <v>C</v>
      </c>
      <c r="U510" s="83" t="str">
        <f t="shared" si="30"/>
        <v/>
      </c>
    </row>
    <row r="511" spans="1:21" s="101" customFormat="1" ht="15.95" customHeight="1" x14ac:dyDescent="0.2">
      <c r="A511" s="118" t="str">
        <f t="shared" si="31"/>
        <v xml:space="preserve"> </v>
      </c>
      <c r="B511" s="79"/>
      <c r="C511" s="80"/>
      <c r="D511" s="80"/>
      <c r="E511" s="8"/>
      <c r="F511" s="8"/>
      <c r="G511" s="15"/>
      <c r="H511" s="35"/>
      <c r="I511" s="8"/>
      <c r="J511" s="81"/>
      <c r="K511" s="82"/>
      <c r="L511" s="7"/>
      <c r="M511" s="7"/>
      <c r="N511" s="119"/>
      <c r="O511" s="117"/>
      <c r="P511" s="117"/>
      <c r="Q511" s="117"/>
      <c r="R511" s="117"/>
      <c r="S511" s="78">
        <f t="shared" si="28"/>
        <v>0</v>
      </c>
      <c r="T511" s="78" t="str">
        <f t="shared" si="29"/>
        <v>C</v>
      </c>
      <c r="U511" s="83" t="str">
        <f t="shared" si="30"/>
        <v/>
      </c>
    </row>
    <row r="512" spans="1:21" s="101" customFormat="1" ht="15.95" customHeight="1" x14ac:dyDescent="0.2">
      <c r="A512" s="118" t="str">
        <f t="shared" si="31"/>
        <v xml:space="preserve"> </v>
      </c>
      <c r="B512" s="79"/>
      <c r="C512" s="80"/>
      <c r="D512" s="80"/>
      <c r="E512" s="8"/>
      <c r="F512" s="8"/>
      <c r="G512" s="15"/>
      <c r="H512" s="35"/>
      <c r="I512" s="8"/>
      <c r="J512" s="81"/>
      <c r="K512" s="82"/>
      <c r="L512" s="7"/>
      <c r="M512" s="7"/>
      <c r="N512" s="119"/>
      <c r="O512" s="117"/>
      <c r="P512" s="117"/>
      <c r="Q512" s="117"/>
      <c r="R512" s="117"/>
      <c r="S512" s="78">
        <f t="shared" si="28"/>
        <v>0</v>
      </c>
      <c r="T512" s="78" t="str">
        <f t="shared" si="29"/>
        <v>C</v>
      </c>
      <c r="U512" s="83" t="str">
        <f t="shared" si="30"/>
        <v/>
      </c>
    </row>
    <row r="513" spans="1:21" s="101" customFormat="1" ht="15.95" customHeight="1" x14ac:dyDescent="0.2">
      <c r="A513" s="118" t="str">
        <f t="shared" si="31"/>
        <v xml:space="preserve"> </v>
      </c>
      <c r="B513" s="79"/>
      <c r="C513" s="80"/>
      <c r="D513" s="80"/>
      <c r="E513" s="8"/>
      <c r="F513" s="8"/>
      <c r="G513" s="15"/>
      <c r="H513" s="35"/>
      <c r="I513" s="8"/>
      <c r="J513" s="81"/>
      <c r="K513" s="82"/>
      <c r="L513" s="7"/>
      <c r="M513" s="7"/>
      <c r="N513" s="119"/>
      <c r="O513" s="117"/>
      <c r="P513" s="117"/>
      <c r="Q513" s="117"/>
      <c r="R513" s="117"/>
      <c r="S513" s="78">
        <f t="shared" si="28"/>
        <v>0</v>
      </c>
      <c r="T513" s="78" t="str">
        <f t="shared" si="29"/>
        <v>C</v>
      </c>
      <c r="U513" s="83" t="str">
        <f t="shared" si="30"/>
        <v/>
      </c>
    </row>
    <row r="514" spans="1:21" s="101" customFormat="1" ht="15.95" customHeight="1" x14ac:dyDescent="0.2">
      <c r="A514" s="118" t="str">
        <f t="shared" si="31"/>
        <v xml:space="preserve"> </v>
      </c>
      <c r="B514" s="79"/>
      <c r="C514" s="80"/>
      <c r="D514" s="80"/>
      <c r="E514" s="8"/>
      <c r="F514" s="8"/>
      <c r="G514" s="15"/>
      <c r="H514" s="35"/>
      <c r="I514" s="8"/>
      <c r="J514" s="81"/>
      <c r="K514" s="82"/>
      <c r="L514" s="7"/>
      <c r="M514" s="7"/>
      <c r="N514" s="119"/>
      <c r="O514" s="117"/>
      <c r="P514" s="117"/>
      <c r="Q514" s="117"/>
      <c r="R514" s="117"/>
      <c r="S514" s="78">
        <f t="shared" si="28"/>
        <v>0</v>
      </c>
      <c r="T514" s="78" t="str">
        <f t="shared" si="29"/>
        <v>C</v>
      </c>
      <c r="U514" s="83" t="str">
        <f t="shared" si="30"/>
        <v/>
      </c>
    </row>
    <row r="515" spans="1:21" s="101" customFormat="1" ht="15.95" customHeight="1" x14ac:dyDescent="0.2">
      <c r="A515" s="118" t="str">
        <f t="shared" si="31"/>
        <v xml:space="preserve"> </v>
      </c>
      <c r="B515" s="79"/>
      <c r="C515" s="80"/>
      <c r="D515" s="80"/>
      <c r="E515" s="8"/>
      <c r="F515" s="8"/>
      <c r="G515" s="15"/>
      <c r="H515" s="35"/>
      <c r="I515" s="8"/>
      <c r="J515" s="81"/>
      <c r="K515" s="82"/>
      <c r="L515" s="7"/>
      <c r="M515" s="7"/>
      <c r="N515" s="119"/>
      <c r="O515" s="117"/>
      <c r="P515" s="117"/>
      <c r="Q515" s="117"/>
      <c r="R515" s="117"/>
      <c r="S515" s="78">
        <f t="shared" si="28"/>
        <v>0</v>
      </c>
      <c r="T515" s="78" t="str">
        <f t="shared" si="29"/>
        <v>C</v>
      </c>
      <c r="U515" s="83" t="str">
        <f t="shared" si="30"/>
        <v/>
      </c>
    </row>
    <row r="516" spans="1:21" x14ac:dyDescent="0.2">
      <c r="B516" s="120"/>
      <c r="C516" s="121" t="s">
        <v>15</v>
      </c>
      <c r="D516" s="121"/>
      <c r="E516" s="121" t="s">
        <v>15</v>
      </c>
      <c r="F516" s="121" t="s">
        <v>15</v>
      </c>
      <c r="G516" s="122" t="s">
        <v>15</v>
      </c>
      <c r="H516" s="121" t="s">
        <v>15</v>
      </c>
      <c r="I516" s="121" t="s">
        <v>15</v>
      </c>
      <c r="J516" s="121"/>
      <c r="K516" s="121" t="s">
        <v>15</v>
      </c>
      <c r="L516" s="123" t="s">
        <v>15</v>
      </c>
      <c r="M516" s="123"/>
      <c r="N516" s="121" t="s">
        <v>15</v>
      </c>
      <c r="O516" s="121" t="s">
        <v>15</v>
      </c>
      <c r="P516" s="121" t="s">
        <v>15</v>
      </c>
      <c r="Q516" s="121" t="s">
        <v>15</v>
      </c>
      <c r="R516" s="121" t="s">
        <v>15</v>
      </c>
      <c r="S516" s="14"/>
      <c r="T516" s="14"/>
    </row>
  </sheetData>
  <sheetProtection sheet="1" objects="1" scenarios="1" deleteRows="0"/>
  <mergeCells count="10">
    <mergeCell ref="A13:G13"/>
    <mergeCell ref="H12:I12"/>
    <mergeCell ref="H13:I13"/>
    <mergeCell ref="B9:C9"/>
    <mergeCell ref="B10:C10"/>
    <mergeCell ref="D5:I5"/>
    <mergeCell ref="B8:N8"/>
    <mergeCell ref="D9:E9"/>
    <mergeCell ref="D10:E10"/>
    <mergeCell ref="A12:G12"/>
  </mergeCells>
  <phoneticPr fontId="0" type="noConversion"/>
  <dataValidations count="21">
    <dataValidation type="date" allowBlank="1" showInputMessage="1" showErrorMessage="1" errorTitle="Error" error="Please use correct date format:_x000a_MM/DD/YYYY" promptTitle="Date Format" prompt="The Date Format for the Journal Header _x000a_needs to be MM/DD/YYYY." sqref="F10">
      <formula1>38899</formula1>
      <formula2>401585</formula2>
    </dataValidation>
    <dataValidation type="textLength" allowBlank="1" showInputMessage="1" showErrorMessage="1" errorTitle="Error" error="The Journal Source entered is not 3 characters in length." sqref="H10">
      <formula1>3</formula1>
      <formula2>3</formula2>
    </dataValidation>
    <dataValidation type="textLength" errorStyle="warning" allowBlank="1" showInputMessage="1" showErrorMessage="1" errorTitle="Warning" error="The Journal Header Description entered is greater than 30 characters.   All characters over 30 will be truncated in the Journal Upload." sqref="A13">
      <formula1>0</formula1>
      <formula2>30</formula2>
    </dataValidation>
    <dataValidation type="textLength" errorStyle="warning" allowBlank="1" showInputMessage="1" showErrorMessage="1" errorTitle="Warning" error="The Journal Reference Number entered is greater than 8 characters.   All characters over 8 will be truncated in the Journal Upload." sqref="H13:I13">
      <formula1>0</formula1>
      <formula2>8</formula2>
    </dataValidation>
    <dataValidation type="list" allowBlank="1" showInputMessage="1" showErrorMessage="1" errorTitle="Error" error="The Business Unit entered is not a valid selection.  Please select a value from the _x000a_drop-down list." sqref="B10:C10">
      <formula1>BU_List</formula1>
    </dataValidation>
    <dataValidation type="textLength" allowBlank="1" showInputMessage="1" showErrorMessage="1" errorTitle="Error" error="The Account entered is not 6 characters in length." sqref="C16:D515">
      <formula1>6</formula1>
      <formula2>6</formula2>
    </dataValidation>
    <dataValidation type="textLength" allowBlank="1" showInputMessage="1" showErrorMessage="1" errorTitle="Error" error="The Fund entered is not 5 characters in length." sqref="E16:E515">
      <formula1>5</formula1>
      <formula2>5</formula2>
    </dataValidation>
    <dataValidation type="textLength" allowBlank="1" showInputMessage="1" showErrorMessage="1" errorTitle="Error" error="TheDeptID entered is not 10_x000a_ characters in length." sqref="F16:F515">
      <formula1>10</formula1>
      <formula2>10</formula2>
    </dataValidation>
    <dataValidation type="textLength" allowBlank="1" showInputMessage="1" showErrorMessage="1" errorTitle="Error" error="The Program entered is not 3 characters in length." sqref="G16:G515">
      <formula1>3</formula1>
      <formula2>3</formula2>
    </dataValidation>
    <dataValidation type="textLength" allowBlank="1" showInputMessage="1" showErrorMessage="1" errorTitle="Error" error="TheProject/Grant entered is not 15 characters in length." sqref="I16:I515">
      <formula1>15</formula1>
      <formula2>15</formula2>
    </dataValidation>
    <dataValidation type="date" allowBlank="1" showInputMessage="1" showErrorMessage="1" errorTitle="Error" error="Please use correct date format:_x000a_MM/DD/YYYY" sqref="K10">
      <formula1>37438</formula1>
      <formula2>401585</formula2>
    </dataValidation>
    <dataValidation type="list" showInputMessage="1" showErrorMessage="1" errorTitle="Error" error="The Business Unit entered is not a valid selection.  Please select a value from the _x000a_drop-down list." sqref="B16:B515">
      <formula1>Unitlist</formula1>
    </dataValidation>
    <dataValidation allowBlank="1" showInputMessage="1" showErrorMessage="1" errorTitle="Error" error="The Business Unit entered is not a valid selection.  Please select a value from the _x000a_drop-down list." sqref="D10"/>
    <dataValidation type="textLength" allowBlank="1" showInputMessage="1" showErrorMessage="1" errorTitle="Error" error="The Class entered is not a 2,3,4 or 5 character length." sqref="H16:H515">
      <formula1>2</formula1>
      <formula2>5</formula2>
    </dataValidation>
    <dataValidation type="textLength" errorStyle="warning" allowBlank="1" showInputMessage="1" showErrorMessage="1" errorTitle="Warning" error="The Transaction Line Description entered is greater than 20 characters.   All characters over 20 will be truncated in the Recharge Upload." sqref="L16:L515">
      <formula1>0</formula1>
      <formula2>20</formula2>
    </dataValidation>
    <dataValidation type="textLength" errorStyle="warning" allowBlank="1" showInputMessage="1" showErrorMessage="1" errorTitle="Warning" error="The Name Reference is greater than 20 characters.  All characters over 20 will be truncated in the Recharge  Upload." sqref="M16:M515">
      <formula1>0</formula1>
      <formula2>20</formula2>
    </dataValidation>
    <dataValidation type="date" errorStyle="warning" operator="greaterThan" showInputMessage="1" showErrorMessage="1" errorTitle="Warning" error="Transaction Date Cannot Be Blank." sqref="N16:N515">
      <formula1>42370</formula1>
    </dataValidation>
    <dataValidation type="textLength" errorStyle="warning" allowBlank="1" showInputMessage="1" showErrorMessage="1" errorTitle="Warning" error="Doc Ref entered is greater than 9 characters.   All characters over 9 will be truncated in the Recharge Upload." sqref="O16:O515">
      <formula1>0</formula1>
      <formula2>9</formula2>
    </dataValidation>
    <dataValidation type="textLength" errorStyle="warning" allowBlank="1" showInputMessage="1" showErrorMessage="1" errorTitle="Warning" error="Ref 2 entered is greater than 7 characters.   All characters over 7 will be truncated in the Recharge Upload." sqref="P16:P515">
      <formula1>0</formula1>
      <formula2>7</formula2>
    </dataValidation>
    <dataValidation type="textLength" errorStyle="warning" allowBlank="1" showInputMessage="1" showErrorMessage="1" errorTitle="Warning" error="Trans ID entered is greater than 11 characters.   All characters over 11 will be truncated in the Recharge Upload." sqref="Q16:Q515">
      <formula1>0</formula1>
      <formula2>11</formula2>
    </dataValidation>
    <dataValidation type="textLength" errorStyle="warning" allowBlank="1" showInputMessage="1" showErrorMessage="1" errorTitle="Warning" error="Ref 3 entered is greater than 7 characters.   All characters over 7 will be truncated in the Recharge Upload." sqref="R16:R515">
      <formula1>0</formula1>
      <formula2>7</formula2>
    </dataValidation>
  </dataValidations>
  <printOptions horizontalCentered="1"/>
  <pageMargins left="0.25" right="0.25" top="0.75" bottom="0.75" header="0.3" footer="0.3"/>
  <pageSetup scale="67" fitToHeight="0"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1" r:id="rId4" name="Button 97">
              <controlPr defaultSize="0" print="0" autoFill="0" autoPict="0" macro="[0]!CreateFile">
                <anchor moveWithCells="1" sizeWithCells="1">
                  <from>
                    <xdr:col>11</xdr:col>
                    <xdr:colOff>381000</xdr:colOff>
                    <xdr:row>0</xdr:row>
                    <xdr:rowOff>47625</xdr:rowOff>
                  </from>
                  <to>
                    <xdr:col>13</xdr:col>
                    <xdr:colOff>581025</xdr:colOff>
                    <xdr:row>1</xdr:row>
                    <xdr:rowOff>190500</xdr:rowOff>
                  </to>
                </anchor>
              </controlPr>
            </control>
          </mc:Choice>
        </mc:AlternateContent>
        <mc:AlternateContent xmlns:mc="http://schemas.openxmlformats.org/markup-compatibility/2006">
          <mc:Choice Requires="x14">
            <control shapeId="1122" r:id="rId5" name="Button 98">
              <controlPr defaultSize="0" print="0" autoFill="0" autoPict="0" macro="[0]!SetPrint">
                <anchor moveWithCells="1" sizeWithCells="1">
                  <from>
                    <xdr:col>0</xdr:col>
                    <xdr:colOff>66675</xdr:colOff>
                    <xdr:row>0</xdr:row>
                    <xdr:rowOff>47625</xdr:rowOff>
                  </from>
                  <to>
                    <xdr:col>3</xdr:col>
                    <xdr:colOff>66675</xdr:colOff>
                    <xdr:row>1</xdr:row>
                    <xdr:rowOff>190500</xdr:rowOff>
                  </to>
                </anchor>
              </controlPr>
            </control>
          </mc:Choice>
        </mc:AlternateContent>
        <mc:AlternateContent xmlns:mc="http://schemas.openxmlformats.org/markup-compatibility/2006">
          <mc:Choice Requires="x14">
            <control shapeId="1124" r:id="rId6" name="Button 100">
              <controlPr defaultSize="0" print="0" autoFill="0" autoPict="0" macro="[0]!RefreshAll">
                <anchor moveWithCells="1" sizeWithCells="1">
                  <from>
                    <xdr:col>0</xdr:col>
                    <xdr:colOff>66675</xdr:colOff>
                    <xdr:row>2</xdr:row>
                    <xdr:rowOff>114300</xdr:rowOff>
                  </from>
                  <to>
                    <xdr:col>3</xdr:col>
                    <xdr:colOff>66675</xdr:colOff>
                    <xdr:row>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K154"/>
  <sheetViews>
    <sheetView workbookViewId="0">
      <selection activeCell="J15" sqref="J15"/>
    </sheetView>
  </sheetViews>
  <sheetFormatPr defaultRowHeight="12.75" x14ac:dyDescent="0.2"/>
  <cols>
    <col min="6" max="6" width="14.7109375" customWidth="1"/>
    <col min="7" max="7" width="1.7109375" customWidth="1"/>
    <col min="9" max="9" width="18.28515625" customWidth="1"/>
  </cols>
  <sheetData>
    <row r="1" spans="1:9" ht="13.5" thickBot="1" x14ac:dyDescent="0.25">
      <c r="A1" s="32" t="s">
        <v>177</v>
      </c>
      <c r="B1" s="33"/>
      <c r="C1" s="33"/>
      <c r="D1" s="33"/>
      <c r="E1" s="33"/>
      <c r="F1" s="34"/>
      <c r="G1" s="133"/>
      <c r="H1" s="133"/>
      <c r="I1" s="133"/>
    </row>
    <row r="2" spans="1:9" x14ac:dyDescent="0.2">
      <c r="A2" s="26"/>
    </row>
    <row r="3" spans="1:9" x14ac:dyDescent="0.2">
      <c r="A3" s="27" t="s">
        <v>174</v>
      </c>
    </row>
    <row r="4" spans="1:9" x14ac:dyDescent="0.2">
      <c r="A4" s="28" t="s">
        <v>238</v>
      </c>
    </row>
    <row r="5" spans="1:9" x14ac:dyDescent="0.2">
      <c r="A5" s="28" t="s">
        <v>183</v>
      </c>
    </row>
    <row r="6" spans="1:9" x14ac:dyDescent="0.2">
      <c r="A6" s="27"/>
    </row>
    <row r="7" spans="1:9" x14ac:dyDescent="0.2">
      <c r="I7" s="77"/>
    </row>
    <row r="8" spans="1:9" x14ac:dyDescent="0.2">
      <c r="A8" s="29" t="s">
        <v>181</v>
      </c>
    </row>
    <row r="9" spans="1:9" x14ac:dyDescent="0.2">
      <c r="A9" s="27" t="s">
        <v>285</v>
      </c>
    </row>
    <row r="10" spans="1:9" ht="15" x14ac:dyDescent="0.25">
      <c r="A10" s="27" t="s">
        <v>279</v>
      </c>
      <c r="I10" s="134"/>
    </row>
    <row r="11" spans="1:9" ht="15" x14ac:dyDescent="0.25">
      <c r="A11" s="31"/>
      <c r="B11" s="31" t="s">
        <v>280</v>
      </c>
      <c r="I11" s="134"/>
    </row>
    <row r="12" spans="1:9" ht="15" x14ac:dyDescent="0.25">
      <c r="A12" s="31"/>
      <c r="I12" s="134"/>
    </row>
    <row r="13" spans="1:9" ht="15" x14ac:dyDescent="0.25">
      <c r="A13" s="31" t="s">
        <v>281</v>
      </c>
      <c r="I13" s="134"/>
    </row>
    <row r="14" spans="1:9" ht="15" x14ac:dyDescent="0.25">
      <c r="A14" s="31"/>
      <c r="I14" s="134"/>
    </row>
    <row r="15" spans="1:9" x14ac:dyDescent="0.2">
      <c r="A15" s="27" t="s">
        <v>178</v>
      </c>
    </row>
    <row r="16" spans="1:9" x14ac:dyDescent="0.2">
      <c r="A16" s="27" t="s">
        <v>239</v>
      </c>
    </row>
    <row r="17" spans="1:9" x14ac:dyDescent="0.2">
      <c r="A17" s="27" t="s">
        <v>265</v>
      </c>
    </row>
    <row r="18" spans="1:9" x14ac:dyDescent="0.2">
      <c r="A18" s="27" t="s">
        <v>263</v>
      </c>
    </row>
    <row r="19" spans="1:9" ht="15" x14ac:dyDescent="0.25">
      <c r="A19" s="31" t="s">
        <v>264</v>
      </c>
      <c r="I19" s="134" t="s">
        <v>182</v>
      </c>
    </row>
    <row r="20" spans="1:9" ht="15" x14ac:dyDescent="0.25">
      <c r="A20" s="31" t="s">
        <v>282</v>
      </c>
      <c r="I20" s="134"/>
    </row>
    <row r="21" spans="1:9" ht="15" x14ac:dyDescent="0.25">
      <c r="A21" s="31" t="s">
        <v>284</v>
      </c>
      <c r="I21" s="134"/>
    </row>
    <row r="22" spans="1:9" ht="15" x14ac:dyDescent="0.25">
      <c r="A22" s="31" t="s">
        <v>283</v>
      </c>
      <c r="I22" s="134"/>
    </row>
    <row r="23" spans="1:9" ht="15" x14ac:dyDescent="0.25">
      <c r="A23" s="31"/>
      <c r="I23" s="134"/>
    </row>
    <row r="24" spans="1:9" ht="15" x14ac:dyDescent="0.25">
      <c r="A24" s="31"/>
      <c r="I24" s="134"/>
    </row>
    <row r="25" spans="1:9" x14ac:dyDescent="0.2">
      <c r="A25" s="27"/>
    </row>
    <row r="26" spans="1:9" ht="15" x14ac:dyDescent="0.25">
      <c r="A26" s="130" t="s">
        <v>180</v>
      </c>
    </row>
    <row r="27" spans="1:9" x14ac:dyDescent="0.2">
      <c r="A27" s="25" t="s">
        <v>266</v>
      </c>
    </row>
    <row r="28" spans="1:9" x14ac:dyDescent="0.2">
      <c r="A28" s="25"/>
    </row>
    <row r="29" spans="1:9" x14ac:dyDescent="0.2">
      <c r="A29" s="25" t="s">
        <v>267</v>
      </c>
    </row>
    <row r="30" spans="1:9" x14ac:dyDescent="0.2">
      <c r="A30" s="27" t="s">
        <v>278</v>
      </c>
    </row>
    <row r="31" spans="1:9" x14ac:dyDescent="0.2">
      <c r="A31" s="25"/>
    </row>
    <row r="32" spans="1:9" x14ac:dyDescent="0.2">
      <c r="A32" s="25" t="s">
        <v>269</v>
      </c>
    </row>
    <row r="33" spans="1:2" x14ac:dyDescent="0.2">
      <c r="A33" s="27" t="s">
        <v>199</v>
      </c>
    </row>
    <row r="34" spans="1:2" x14ac:dyDescent="0.2">
      <c r="A34" s="27" t="s">
        <v>277</v>
      </c>
    </row>
    <row r="35" spans="1:2" x14ac:dyDescent="0.2">
      <c r="A35" s="25"/>
    </row>
    <row r="36" spans="1:2" x14ac:dyDescent="0.2">
      <c r="A36" s="25" t="s">
        <v>240</v>
      </c>
    </row>
    <row r="37" spans="1:2" x14ac:dyDescent="0.2">
      <c r="A37" s="27" t="s">
        <v>268</v>
      </c>
    </row>
    <row r="38" spans="1:2" x14ac:dyDescent="0.2">
      <c r="A38" s="27" t="s">
        <v>278</v>
      </c>
    </row>
    <row r="39" spans="1:2" x14ac:dyDescent="0.2">
      <c r="A39" s="25"/>
    </row>
    <row r="40" spans="1:2" x14ac:dyDescent="0.2">
      <c r="A40" s="25"/>
    </row>
    <row r="41" spans="1:2" ht="15" x14ac:dyDescent="0.25">
      <c r="A41" s="131" t="s">
        <v>241</v>
      </c>
    </row>
    <row r="42" spans="1:2" x14ac:dyDescent="0.2">
      <c r="A42" s="27" t="s">
        <v>243</v>
      </c>
    </row>
    <row r="43" spans="1:2" x14ac:dyDescent="0.2">
      <c r="A43" s="25"/>
    </row>
    <row r="44" spans="1:2" x14ac:dyDescent="0.2">
      <c r="A44" s="25" t="s">
        <v>197</v>
      </c>
    </row>
    <row r="45" spans="1:2" x14ac:dyDescent="0.2">
      <c r="A45" s="27" t="s">
        <v>184</v>
      </c>
    </row>
    <row r="46" spans="1:2" x14ac:dyDescent="0.2">
      <c r="A46" s="27" t="s">
        <v>247</v>
      </c>
    </row>
    <row r="47" spans="1:2" x14ac:dyDescent="0.2">
      <c r="A47" s="27" t="s">
        <v>242</v>
      </c>
    </row>
    <row r="48" spans="1:2" x14ac:dyDescent="0.2">
      <c r="A48" s="27"/>
      <c r="B48" s="31" t="s">
        <v>245</v>
      </c>
    </row>
    <row r="49" spans="1:2" x14ac:dyDescent="0.2">
      <c r="A49" s="27"/>
      <c r="B49" s="31" t="s">
        <v>246</v>
      </c>
    </row>
    <row r="50" spans="1:2" x14ac:dyDescent="0.2">
      <c r="A50" s="27"/>
      <c r="B50" s="136" t="s">
        <v>255</v>
      </c>
    </row>
    <row r="51" spans="1:2" x14ac:dyDescent="0.2">
      <c r="A51" s="27"/>
      <c r="B51" s="136"/>
    </row>
    <row r="52" spans="1:2" x14ac:dyDescent="0.2">
      <c r="A52" s="25" t="s">
        <v>196</v>
      </c>
    </row>
    <row r="53" spans="1:2" x14ac:dyDescent="0.2">
      <c r="A53" s="31" t="s">
        <v>244</v>
      </c>
    </row>
    <row r="54" spans="1:2" x14ac:dyDescent="0.2">
      <c r="A54" s="30" t="s">
        <v>258</v>
      </c>
    </row>
    <row r="55" spans="1:2" x14ac:dyDescent="0.2">
      <c r="A55" s="30" t="s">
        <v>259</v>
      </c>
    </row>
    <row r="56" spans="1:2" x14ac:dyDescent="0.2">
      <c r="A56" s="27" t="s">
        <v>42</v>
      </c>
    </row>
    <row r="57" spans="1:2" x14ac:dyDescent="0.2">
      <c r="A57" s="27" t="s">
        <v>43</v>
      </c>
    </row>
    <row r="58" spans="1:2" x14ac:dyDescent="0.2">
      <c r="A58" s="27"/>
    </row>
    <row r="59" spans="1:2" x14ac:dyDescent="0.2">
      <c r="A59" s="25" t="s">
        <v>248</v>
      </c>
    </row>
    <row r="60" spans="1:2" x14ac:dyDescent="0.2">
      <c r="A60" s="127" t="s">
        <v>249</v>
      </c>
    </row>
    <row r="61" spans="1:2" x14ac:dyDescent="0.2">
      <c r="A61" s="25"/>
    </row>
    <row r="62" spans="1:2" x14ac:dyDescent="0.2">
      <c r="A62" s="25" t="s">
        <v>45</v>
      </c>
    </row>
    <row r="63" spans="1:2" x14ac:dyDescent="0.2">
      <c r="A63" s="27" t="s">
        <v>250</v>
      </c>
    </row>
    <row r="64" spans="1:2" x14ac:dyDescent="0.2">
      <c r="A64" s="27"/>
    </row>
    <row r="65" spans="1:1" x14ac:dyDescent="0.2">
      <c r="A65" s="25" t="s">
        <v>186</v>
      </c>
    </row>
    <row r="66" spans="1:1" x14ac:dyDescent="0.2">
      <c r="A66" s="27" t="s">
        <v>251</v>
      </c>
    </row>
    <row r="67" spans="1:1" x14ac:dyDescent="0.2">
      <c r="A67" s="127" t="s">
        <v>249</v>
      </c>
    </row>
    <row r="68" spans="1:1" x14ac:dyDescent="0.2">
      <c r="A68" s="27"/>
    </row>
    <row r="69" spans="1:1" x14ac:dyDescent="0.2">
      <c r="A69" s="31" t="s">
        <v>227</v>
      </c>
    </row>
    <row r="70" spans="1:1" x14ac:dyDescent="0.2">
      <c r="A70" s="27"/>
    </row>
    <row r="71" spans="1:1" x14ac:dyDescent="0.2">
      <c r="A71" s="25" t="s">
        <v>46</v>
      </c>
    </row>
    <row r="72" spans="1:1" x14ac:dyDescent="0.2">
      <c r="A72" s="127" t="s">
        <v>252</v>
      </c>
    </row>
    <row r="74" spans="1:1" x14ac:dyDescent="0.2">
      <c r="A74" s="31" t="s">
        <v>195</v>
      </c>
    </row>
    <row r="75" spans="1:1" x14ac:dyDescent="0.2">
      <c r="A75" s="31" t="s">
        <v>276</v>
      </c>
    </row>
    <row r="76" spans="1:1" x14ac:dyDescent="0.2">
      <c r="A76" s="27"/>
    </row>
    <row r="77" spans="1:1" x14ac:dyDescent="0.2">
      <c r="A77" s="27" t="s">
        <v>124</v>
      </c>
    </row>
    <row r="78" spans="1:1" x14ac:dyDescent="0.2">
      <c r="A78" s="31" t="s">
        <v>253</v>
      </c>
    </row>
    <row r="79" spans="1:1" x14ac:dyDescent="0.2">
      <c r="A79" s="31" t="s">
        <v>262</v>
      </c>
    </row>
    <row r="80" spans="1:1" x14ac:dyDescent="0.2">
      <c r="A80" s="31" t="s">
        <v>270</v>
      </c>
    </row>
    <row r="82" spans="1:1" x14ac:dyDescent="0.2">
      <c r="A82" s="27" t="s">
        <v>185</v>
      </c>
    </row>
    <row r="83" spans="1:1" x14ac:dyDescent="0.2">
      <c r="A83" s="27" t="s">
        <v>44</v>
      </c>
    </row>
    <row r="84" spans="1:1" x14ac:dyDescent="0.2">
      <c r="A84" s="27" t="s">
        <v>261</v>
      </c>
    </row>
    <row r="85" spans="1:1" x14ac:dyDescent="0.2">
      <c r="A85" s="27" t="s">
        <v>271</v>
      </c>
    </row>
    <row r="86" spans="1:1" x14ac:dyDescent="0.2">
      <c r="A86" s="27"/>
    </row>
    <row r="87" spans="1:1" x14ac:dyDescent="0.2">
      <c r="A87" s="27" t="s">
        <v>190</v>
      </c>
    </row>
    <row r="88" spans="1:1" x14ac:dyDescent="0.2">
      <c r="A88" s="27" t="s">
        <v>191</v>
      </c>
    </row>
    <row r="89" spans="1:1" x14ac:dyDescent="0.2">
      <c r="A89" s="27" t="s">
        <v>275</v>
      </c>
    </row>
    <row r="90" spans="1:1" x14ac:dyDescent="0.2">
      <c r="A90" s="27"/>
    </row>
    <row r="91" spans="1:1" x14ac:dyDescent="0.2">
      <c r="A91" s="27" t="s">
        <v>260</v>
      </c>
    </row>
    <row r="92" spans="1:1" x14ac:dyDescent="0.2">
      <c r="A92" s="27" t="s">
        <v>189</v>
      </c>
    </row>
    <row r="93" spans="1:1" x14ac:dyDescent="0.2">
      <c r="A93" s="27"/>
    </row>
    <row r="94" spans="1:1" x14ac:dyDescent="0.2">
      <c r="A94" s="27" t="s">
        <v>187</v>
      </c>
    </row>
    <row r="95" spans="1:1" x14ac:dyDescent="0.2">
      <c r="A95" s="27" t="s">
        <v>198</v>
      </c>
    </row>
    <row r="96" spans="1:1" x14ac:dyDescent="0.2">
      <c r="A96" s="27" t="s">
        <v>188</v>
      </c>
    </row>
    <row r="97" spans="1:11" x14ac:dyDescent="0.2">
      <c r="A97" s="27"/>
    </row>
    <row r="98" spans="1:11" x14ac:dyDescent="0.2">
      <c r="A98" s="27" t="s">
        <v>192</v>
      </c>
      <c r="B98" s="128"/>
      <c r="C98" s="128"/>
      <c r="D98" s="128"/>
      <c r="E98" s="128"/>
      <c r="F98" s="128"/>
      <c r="G98" s="128"/>
      <c r="H98" s="128"/>
      <c r="I98" s="128"/>
      <c r="J98" s="128"/>
      <c r="K98" s="128"/>
    </row>
    <row r="99" spans="1:11" x14ac:dyDescent="0.2">
      <c r="A99" s="129" t="s">
        <v>193</v>
      </c>
      <c r="B99" s="128"/>
      <c r="C99" s="128"/>
      <c r="D99" s="128"/>
      <c r="E99" s="128"/>
      <c r="F99" s="128"/>
      <c r="G99" s="128"/>
      <c r="H99" s="128"/>
      <c r="I99" s="128"/>
      <c r="J99" s="128"/>
      <c r="K99" s="128"/>
    </row>
    <row r="100" spans="1:11" s="139" customFormat="1" x14ac:dyDescent="0.2">
      <c r="A100" s="137" t="s">
        <v>272</v>
      </c>
      <c r="B100" s="138"/>
      <c r="C100" s="138"/>
      <c r="D100" s="138"/>
      <c r="E100" s="138"/>
      <c r="F100" s="138"/>
      <c r="G100" s="138"/>
      <c r="H100" s="138"/>
      <c r="I100" s="138"/>
      <c r="J100" s="138"/>
      <c r="K100" s="138"/>
    </row>
    <row r="101" spans="1:11" s="128" customFormat="1" x14ac:dyDescent="0.2">
      <c r="A101" s="137"/>
      <c r="B101"/>
      <c r="C101"/>
      <c r="D101"/>
      <c r="E101"/>
      <c r="F101"/>
      <c r="G101"/>
      <c r="H101"/>
      <c r="I101"/>
      <c r="J101"/>
      <c r="K101"/>
    </row>
    <row r="102" spans="1:11" s="128" customFormat="1" x14ac:dyDescent="0.2">
      <c r="A102" s="27" t="s">
        <v>194</v>
      </c>
      <c r="B102"/>
      <c r="C102"/>
      <c r="D102"/>
      <c r="E102"/>
      <c r="F102"/>
      <c r="G102"/>
      <c r="H102"/>
      <c r="I102"/>
      <c r="J102"/>
      <c r="K102"/>
    </row>
    <row r="103" spans="1:11" s="128" customFormat="1" x14ac:dyDescent="0.2">
      <c r="A103" s="27" t="s">
        <v>273</v>
      </c>
      <c r="B103"/>
      <c r="C103"/>
      <c r="D103"/>
      <c r="E103"/>
      <c r="F103"/>
      <c r="G103"/>
      <c r="H103"/>
      <c r="I103"/>
      <c r="J103"/>
      <c r="K103"/>
    </row>
    <row r="104" spans="1:11" x14ac:dyDescent="0.2">
      <c r="A104" s="27"/>
    </row>
    <row r="105" spans="1:11" x14ac:dyDescent="0.2">
      <c r="A105" s="27" t="s">
        <v>200</v>
      </c>
      <c r="B105" s="27"/>
    </row>
    <row r="106" spans="1:11" x14ac:dyDescent="0.2">
      <c r="A106" s="27" t="s">
        <v>274</v>
      </c>
      <c r="B106" s="27"/>
    </row>
    <row r="107" spans="1:11" x14ac:dyDescent="0.2">
      <c r="A107" s="27"/>
    </row>
    <row r="108" spans="1:11" x14ac:dyDescent="0.2">
      <c r="A108" s="27"/>
    </row>
    <row r="109" spans="1:11" x14ac:dyDescent="0.2">
      <c r="A109" s="27"/>
    </row>
    <row r="110" spans="1:11" ht="15" x14ac:dyDescent="0.25">
      <c r="A110" s="132" t="s">
        <v>201</v>
      </c>
    </row>
    <row r="111" spans="1:11" x14ac:dyDescent="0.2">
      <c r="A111" s="26" t="s">
        <v>202</v>
      </c>
      <c r="B111" s="1" t="s">
        <v>254</v>
      </c>
    </row>
    <row r="112" spans="1:11" x14ac:dyDescent="0.2">
      <c r="A112" s="26"/>
      <c r="C112" s="31" t="s">
        <v>211</v>
      </c>
    </row>
    <row r="113" spans="1:3" x14ac:dyDescent="0.2">
      <c r="A113" s="26"/>
      <c r="B113" s="31"/>
    </row>
    <row r="114" spans="1:3" x14ac:dyDescent="0.2">
      <c r="A114" s="26" t="s">
        <v>204</v>
      </c>
      <c r="B114" s="1" t="s">
        <v>203</v>
      </c>
    </row>
    <row r="115" spans="1:3" x14ac:dyDescent="0.2">
      <c r="A115" s="26"/>
      <c r="C115" s="31" t="s">
        <v>209</v>
      </c>
    </row>
    <row r="116" spans="1:3" x14ac:dyDescent="0.2">
      <c r="A116" s="26"/>
      <c r="C116" s="31" t="s">
        <v>210</v>
      </c>
    </row>
    <row r="117" spans="1:3" x14ac:dyDescent="0.2">
      <c r="A117" s="26"/>
    </row>
    <row r="118" spans="1:3" x14ac:dyDescent="0.2">
      <c r="A118" s="26"/>
      <c r="C118" s="31" t="s">
        <v>206</v>
      </c>
    </row>
    <row r="119" spans="1:3" x14ac:dyDescent="0.2">
      <c r="A119" s="26"/>
      <c r="C119" s="31" t="s">
        <v>208</v>
      </c>
    </row>
    <row r="120" spans="1:3" x14ac:dyDescent="0.2">
      <c r="A120" s="26"/>
    </row>
    <row r="121" spans="1:3" x14ac:dyDescent="0.2">
      <c r="A121" s="26"/>
      <c r="C121" s="31" t="s">
        <v>245</v>
      </c>
    </row>
    <row r="122" spans="1:3" x14ac:dyDescent="0.2">
      <c r="A122" s="26"/>
      <c r="C122" s="31" t="s">
        <v>246</v>
      </c>
    </row>
    <row r="123" spans="1:3" x14ac:dyDescent="0.2">
      <c r="A123" s="26"/>
      <c r="C123" s="136" t="s">
        <v>255</v>
      </c>
    </row>
    <row r="124" spans="1:3" x14ac:dyDescent="0.2">
      <c r="A124" s="26"/>
      <c r="C124" s="27" t="s">
        <v>247</v>
      </c>
    </row>
    <row r="125" spans="1:3" x14ac:dyDescent="0.2">
      <c r="A125" s="26"/>
      <c r="C125" s="31" t="s">
        <v>207</v>
      </c>
    </row>
    <row r="126" spans="1:3" x14ac:dyDescent="0.2">
      <c r="A126" s="26"/>
      <c r="C126" s="31"/>
    </row>
    <row r="127" spans="1:3" x14ac:dyDescent="0.2">
      <c r="A127" s="26"/>
      <c r="C127" s="136" t="s">
        <v>257</v>
      </c>
    </row>
    <row r="128" spans="1:3" x14ac:dyDescent="0.2">
      <c r="A128" s="26"/>
      <c r="C128" s="136" t="s">
        <v>256</v>
      </c>
    </row>
    <row r="129" spans="1:10" x14ac:dyDescent="0.2">
      <c r="A129" s="26"/>
    </row>
    <row r="130" spans="1:10" x14ac:dyDescent="0.2">
      <c r="A130" s="26" t="s">
        <v>212</v>
      </c>
      <c r="B130" s="31" t="s">
        <v>213</v>
      </c>
    </row>
    <row r="131" spans="1:10" x14ac:dyDescent="0.2">
      <c r="A131" s="26"/>
      <c r="B131" s="31" t="s">
        <v>214</v>
      </c>
    </row>
    <row r="132" spans="1:10" x14ac:dyDescent="0.2">
      <c r="A132" s="26"/>
      <c r="C132" s="31" t="s">
        <v>215</v>
      </c>
    </row>
    <row r="133" spans="1:10" x14ac:dyDescent="0.2">
      <c r="A133" s="26"/>
      <c r="C133" s="31" t="s">
        <v>216</v>
      </c>
    </row>
    <row r="134" spans="1:10" x14ac:dyDescent="0.2">
      <c r="A134" s="26"/>
      <c r="B134" s="31" t="s">
        <v>217</v>
      </c>
    </row>
    <row r="135" spans="1:10" x14ac:dyDescent="0.2">
      <c r="A135" s="26"/>
    </row>
    <row r="136" spans="1:10" x14ac:dyDescent="0.2">
      <c r="A136" s="26" t="s">
        <v>218</v>
      </c>
      <c r="B136" s="31" t="s">
        <v>219</v>
      </c>
    </row>
    <row r="137" spans="1:10" x14ac:dyDescent="0.2">
      <c r="A137" s="26"/>
    </row>
    <row r="138" spans="1:10" ht="15" x14ac:dyDescent="0.25">
      <c r="A138" s="26" t="s">
        <v>220</v>
      </c>
      <c r="B138" s="31" t="s">
        <v>228</v>
      </c>
      <c r="J138" s="134" t="s">
        <v>182</v>
      </c>
    </row>
    <row r="139" spans="1:10" ht="15" x14ac:dyDescent="0.25">
      <c r="A139" s="26"/>
      <c r="B139" s="31"/>
      <c r="J139" s="134"/>
    </row>
    <row r="140" spans="1:10" x14ac:dyDescent="0.2">
      <c r="A140" s="26"/>
    </row>
    <row r="141" spans="1:10" ht="15" x14ac:dyDescent="0.25">
      <c r="A141" s="135" t="s">
        <v>221</v>
      </c>
    </row>
    <row r="142" spans="1:10" x14ac:dyDescent="0.2">
      <c r="A142" s="26" t="s">
        <v>222</v>
      </c>
      <c r="B142" s="31" t="s">
        <v>229</v>
      </c>
    </row>
    <row r="143" spans="1:10" x14ac:dyDescent="0.2">
      <c r="A143" s="26"/>
    </row>
    <row r="144" spans="1:10" x14ac:dyDescent="0.2">
      <c r="A144" s="26" t="s">
        <v>223</v>
      </c>
      <c r="B144" s="31" t="s">
        <v>230</v>
      </c>
    </row>
    <row r="145" spans="1:3" x14ac:dyDescent="0.2">
      <c r="A145" s="26"/>
      <c r="C145" s="31" t="s">
        <v>231</v>
      </c>
    </row>
    <row r="146" spans="1:3" x14ac:dyDescent="0.2">
      <c r="A146" s="26"/>
      <c r="C146" s="31" t="s">
        <v>232</v>
      </c>
    </row>
    <row r="147" spans="1:3" x14ac:dyDescent="0.2">
      <c r="A147" s="26"/>
    </row>
    <row r="148" spans="1:3" x14ac:dyDescent="0.2">
      <c r="A148" s="26" t="s">
        <v>224</v>
      </c>
      <c r="B148" s="1" t="s">
        <v>235</v>
      </c>
    </row>
    <row r="149" spans="1:3" x14ac:dyDescent="0.2">
      <c r="B149" s="31" t="s">
        <v>234</v>
      </c>
    </row>
    <row r="150" spans="1:3" x14ac:dyDescent="0.2">
      <c r="C150" s="31" t="s">
        <v>233</v>
      </c>
    </row>
    <row r="152" spans="1:3" x14ac:dyDescent="0.2">
      <c r="A152" s="26" t="s">
        <v>225</v>
      </c>
      <c r="B152" s="31" t="s">
        <v>236</v>
      </c>
    </row>
    <row r="154" spans="1:3" x14ac:dyDescent="0.2">
      <c r="A154" s="26" t="s">
        <v>226</v>
      </c>
      <c r="B154" s="31" t="s">
        <v>237</v>
      </c>
    </row>
  </sheetData>
  <phoneticPr fontId="11" type="noConversion"/>
  <hyperlinks>
    <hyperlink ref="J138" r:id="rId1"/>
    <hyperlink ref="I19" r:id="rId2"/>
  </hyperlinks>
  <pageMargins left="0.75" right="0.75" top="1" bottom="1" header="0.5" footer="0.5"/>
  <pageSetup scale="60" orientation="portrait" horizontalDpi="1200" verticalDpi="1200"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514"/>
  <sheetViews>
    <sheetView workbookViewId="0">
      <selection activeCell="A2" sqref="A2"/>
    </sheetView>
  </sheetViews>
  <sheetFormatPr defaultColWidth="8.85546875" defaultRowHeight="12.75" x14ac:dyDescent="0.2"/>
  <cols>
    <col min="1" max="2" width="8.85546875" style="20" customWidth="1"/>
    <col min="3" max="3" width="44.28515625" style="20" bestFit="1" customWidth="1"/>
    <col min="4" max="4" width="11.85546875" style="20" bestFit="1" customWidth="1"/>
    <col min="5" max="5" width="8.85546875" style="20" bestFit="1" customWidth="1"/>
    <col min="6" max="6" width="8.85546875" style="20" customWidth="1"/>
    <col min="7" max="7" width="9.85546875" style="20" customWidth="1"/>
    <col min="8" max="14" width="8.85546875" style="20" customWidth="1"/>
    <col min="15" max="15" width="14.42578125" style="20" customWidth="1"/>
    <col min="16" max="17" width="8.85546875" style="20" customWidth="1"/>
    <col min="18" max="18" width="16.42578125" style="20" bestFit="1" customWidth="1"/>
    <col min="19" max="16384" width="8.85546875" style="20"/>
  </cols>
  <sheetData>
    <row r="1" spans="1:18" s="19" customFormat="1" ht="25.5" x14ac:dyDescent="0.2">
      <c r="A1" s="16" t="s">
        <v>0</v>
      </c>
      <c r="B1" s="16" t="s">
        <v>39</v>
      </c>
      <c r="C1" s="17" t="s">
        <v>2</v>
      </c>
      <c r="D1" s="16" t="s">
        <v>3</v>
      </c>
      <c r="E1" s="16" t="s">
        <v>4</v>
      </c>
      <c r="F1" s="16" t="s">
        <v>41</v>
      </c>
      <c r="G1" s="16" t="s">
        <v>5</v>
      </c>
      <c r="H1" s="18"/>
      <c r="I1" s="18"/>
      <c r="J1" s="18"/>
      <c r="K1" s="18"/>
      <c r="L1" s="18"/>
      <c r="M1" s="18"/>
      <c r="N1" s="16" t="s">
        <v>2</v>
      </c>
      <c r="O1" s="16" t="s">
        <v>40</v>
      </c>
      <c r="P1" s="16" t="s">
        <v>4</v>
      </c>
      <c r="Q1" s="16" t="s">
        <v>5</v>
      </c>
      <c r="R1" s="16" t="s">
        <v>41</v>
      </c>
    </row>
    <row r="2" spans="1:18" x14ac:dyDescent="0.2">
      <c r="A2" s="20" t="str">
        <f>IF('GL Template'!B16&lt;&gt;"",'GL Template'!B16,0)</f>
        <v>UMAMH</v>
      </c>
      <c r="B2" s="20" t="str">
        <f>IF('GL Template'!D16&lt;&gt;"",'GL Template'!D16,0)</f>
        <v>155308</v>
      </c>
      <c r="C2" s="71">
        <v>53106</v>
      </c>
      <c r="D2" s="21" t="s">
        <v>314</v>
      </c>
      <c r="E2" s="21" t="s">
        <v>295</v>
      </c>
      <c r="F2" s="21" t="s">
        <v>315</v>
      </c>
      <c r="G2" s="21"/>
      <c r="N2" s="20" t="str">
        <f>IF(OR(LEFT('Web Links'!$C2,2)="In",$C2="Error"),"?????",""&amp;C2)</f>
        <v>53106</v>
      </c>
      <c r="O2" s="20" t="str">
        <f>IF(OR(LEFT('Web Links'!$C2,2)="In",$C2="Error"),"??????????",""&amp;D2)</f>
        <v>A090700034</v>
      </c>
      <c r="P2" s="20" t="str">
        <f>IF(OR(LEFT('Web Links'!$C2,2)="In",$C2="Error"),"???",IF(LEN(E2)=2,"0",IF(LEN(E2)=1,"00","")))&amp;'Web Links'!E2</f>
        <v>B03</v>
      </c>
      <c r="Q2" s="20" t="str">
        <f>IF(OR(LEFT('Web Links'!$C2,2)="In",$C2="Error"),"?????",IF(LEN(G2)=4,"",IF(LEN(G2)=3,"",IF(LEN(G2)=2,"",IF(LEN(G2)=1,"",""))))&amp;'Web Links'!G2)</f>
        <v/>
      </c>
      <c r="R2" s="20" t="str">
        <f>IF(OR(LEFT('Web Links'!$C2,2)="In",$C2="Error"),"???????????????",""&amp;F2)</f>
        <v>S12100000001075</v>
      </c>
    </row>
    <row r="3" spans="1:18" x14ac:dyDescent="0.2">
      <c r="A3" s="20" t="str">
        <f>IF('GL Template'!B17&lt;&gt;"",'GL Template'!B17,0)</f>
        <v>UMAMH</v>
      </c>
      <c r="B3" s="20" t="str">
        <f>IF('GL Template'!D17&lt;&gt;"",'GL Template'!D17,0)</f>
        <v>155226</v>
      </c>
      <c r="C3" s="20">
        <v>51511</v>
      </c>
      <c r="D3" s="20" t="s">
        <v>293</v>
      </c>
      <c r="E3" s="20" t="s">
        <v>290</v>
      </c>
      <c r="N3" s="20" t="str">
        <f>IF(OR(LEFT('Web Links'!$C3,2)="In",$C3="Error"),"?????",""&amp;C3)</f>
        <v>51511</v>
      </c>
      <c r="O3" s="20" t="str">
        <f>IF(OR(LEFT('Web Links'!$C3,2)="In",$C3="Error"),"??????????",""&amp;D3)</f>
        <v>A606363000</v>
      </c>
      <c r="P3" s="20" t="str">
        <f>IF(OR(LEFT('Web Links'!$C3,2)="In",$C3="Error"),"???",IF(LEN(E3)=2,"0",IF(LEN(E3)=1,"00","")))&amp;'Web Links'!E3</f>
        <v>D06</v>
      </c>
      <c r="Q3" s="20" t="str">
        <f>IF(OR(LEFT('Web Links'!$C3,2)="In",$C3="Error"),"?????",IF(LEN(G3)=4,"",IF(LEN(G3)=3,"",IF(LEN(G3)=2,"",IF(LEN(G3)=1,"",""))))&amp;'Web Links'!G3)</f>
        <v/>
      </c>
      <c r="R3" s="20" t="str">
        <f>IF(OR(LEFT('Web Links'!$C3,2)="In",$C3="Error"),"???????????????",""&amp;F3)</f>
        <v/>
      </c>
    </row>
    <row r="4" spans="1:18" x14ac:dyDescent="0.2">
      <c r="A4" s="20" t="str">
        <f>IF('GL Template'!B18&lt;&gt;"",'GL Template'!B18,0)</f>
        <v>UMAMH</v>
      </c>
      <c r="B4" s="20" t="str">
        <f>IF('GL Template'!D18&lt;&gt;"",'GL Template'!D18,0)</f>
        <v>155308</v>
      </c>
      <c r="C4" s="20">
        <v>53106</v>
      </c>
      <c r="D4" s="20" t="s">
        <v>314</v>
      </c>
      <c r="E4" s="20" t="s">
        <v>295</v>
      </c>
      <c r="F4" s="20" t="s">
        <v>315</v>
      </c>
      <c r="N4" s="20" t="str">
        <f>IF(OR(LEFT('Web Links'!$C4,2)="In",$C4="Error"),"?????",""&amp;C4)</f>
        <v>53106</v>
      </c>
      <c r="O4" s="20" t="str">
        <f>IF(OR(LEFT('Web Links'!$C4,2)="In",$C4="Error"),"??????????",""&amp;D4)</f>
        <v>A090700034</v>
      </c>
      <c r="P4" s="20" t="str">
        <f>IF(OR(LEFT('Web Links'!$C4,2)="In",$C4="Error"),"???",IF(LEN(E4)=2,"0",IF(LEN(E4)=1,"00","")))&amp;'Web Links'!E4</f>
        <v>B03</v>
      </c>
      <c r="Q4" s="20" t="str">
        <f>IF(OR(LEFT('Web Links'!$C4,2)="In",$C4="Error"),"?????",IF(LEN(G4)=4,"",IF(LEN(G4)=3,"",IF(LEN(G4)=2,"",IF(LEN(G4)=1,"",""))))&amp;'Web Links'!G4)</f>
        <v/>
      </c>
      <c r="R4" s="20" t="str">
        <f>IF(OR(LEFT('Web Links'!$C4,2)="In",$C4="Error"),"???????????????",""&amp;F4)</f>
        <v>S12100000001075</v>
      </c>
    </row>
    <row r="5" spans="1:18" x14ac:dyDescent="0.2">
      <c r="A5" s="20" t="str">
        <f>IF('GL Template'!B19&lt;&gt;"",'GL Template'!B19,0)</f>
        <v>UMAMH</v>
      </c>
      <c r="B5" s="20" t="str">
        <f>IF('GL Template'!D19&lt;&gt;"",'GL Template'!D19,0)</f>
        <v>155226</v>
      </c>
      <c r="C5" s="20">
        <v>51511</v>
      </c>
      <c r="D5" s="20" t="s">
        <v>293</v>
      </c>
      <c r="E5" s="20" t="s">
        <v>290</v>
      </c>
      <c r="N5" s="20" t="str">
        <f>IF(OR(LEFT('Web Links'!$C5,2)="In",$C5="Error"),"?????",""&amp;C5)</f>
        <v>51511</v>
      </c>
      <c r="O5" s="20" t="str">
        <f>IF(OR(LEFT('Web Links'!$C5,2)="In",$C5="Error"),"??????????",""&amp;D5)</f>
        <v>A606363000</v>
      </c>
      <c r="P5" s="20" t="str">
        <f>IF(OR(LEFT('Web Links'!$C5,2)="In",$C5="Error"),"???",IF(LEN(E5)=2,"0",IF(LEN(E5)=1,"00","")))&amp;'Web Links'!E5</f>
        <v>D06</v>
      </c>
      <c r="Q5" s="20" t="str">
        <f>IF(OR(LEFT('Web Links'!$C5,2)="In",$C5="Error"),"?????",IF(LEN(G5)=4,"",IF(LEN(G5)=3,"",IF(LEN(G5)=2,"",IF(LEN(G5)=1,"",""))))&amp;'Web Links'!G5)</f>
        <v/>
      </c>
      <c r="R5" s="20" t="str">
        <f>IF(OR(LEFT('Web Links'!$C5,2)="In",$C5="Error"),"???????????????",""&amp;F5)</f>
        <v/>
      </c>
    </row>
    <row r="6" spans="1:18" x14ac:dyDescent="0.2">
      <c r="A6" s="20" t="str">
        <f>IF('GL Template'!B20&lt;&gt;"",'GL Template'!B20,0)</f>
        <v>UMAMH</v>
      </c>
      <c r="B6" s="20" t="str">
        <f>IF('GL Template'!D20&lt;&gt;"",'GL Template'!D20,0)</f>
        <v>155308</v>
      </c>
      <c r="C6" s="20">
        <v>53106</v>
      </c>
      <c r="D6" s="20" t="s">
        <v>314</v>
      </c>
      <c r="E6" s="20" t="s">
        <v>295</v>
      </c>
      <c r="F6" s="20" t="s">
        <v>315</v>
      </c>
      <c r="N6" s="20" t="str">
        <f>IF(OR(LEFT('Web Links'!$C6,2)="In",$C6="Error"),"?????",""&amp;C6)</f>
        <v>53106</v>
      </c>
      <c r="O6" s="20" t="str">
        <f>IF(OR(LEFT('Web Links'!$C6,2)="In",$C6="Error"),"??????????",""&amp;D6)</f>
        <v>A090700034</v>
      </c>
      <c r="P6" s="20" t="str">
        <f>IF(OR(LEFT('Web Links'!$C6,2)="In",$C6="Error"),"???",IF(LEN(E6)=2,"0",IF(LEN(E6)=1,"00","")))&amp;'Web Links'!E6</f>
        <v>B03</v>
      </c>
      <c r="Q6" s="20" t="str">
        <f>IF(OR(LEFT('Web Links'!$C6,2)="In",$C6="Error"),"?????",IF(LEN(G6)=4,"",IF(LEN(G6)=3,"",IF(LEN(G6)=2,"",IF(LEN(G6)=1,"",""))))&amp;'Web Links'!G6)</f>
        <v/>
      </c>
      <c r="R6" s="20" t="str">
        <f>IF(OR(LEFT('Web Links'!$C6,2)="In",$C6="Error"),"???????????????",""&amp;F6)</f>
        <v>S12100000001075</v>
      </c>
    </row>
    <row r="7" spans="1:18" x14ac:dyDescent="0.2">
      <c r="A7" s="20" t="str">
        <f>IF('GL Template'!B21&lt;&gt;"",'GL Template'!B21,0)</f>
        <v>UMAMH</v>
      </c>
      <c r="B7" s="20" t="str">
        <f>IF('GL Template'!D21&lt;&gt;"",'GL Template'!D21,0)</f>
        <v>155226</v>
      </c>
      <c r="C7" s="20">
        <v>51511</v>
      </c>
      <c r="D7" s="20" t="s">
        <v>293</v>
      </c>
      <c r="E7" s="20" t="s">
        <v>290</v>
      </c>
      <c r="N7" s="20" t="str">
        <f>IF(OR(LEFT('Web Links'!$C7,2)="In",$C7="Error"),"?????",""&amp;C7)</f>
        <v>51511</v>
      </c>
      <c r="O7" s="20" t="str">
        <f>IF(OR(LEFT('Web Links'!$C7,2)="In",$C7="Error"),"??????????",""&amp;D7)</f>
        <v>A606363000</v>
      </c>
      <c r="P7" s="20" t="str">
        <f>IF(OR(LEFT('Web Links'!$C7,2)="In",$C7="Error"),"???",IF(LEN(E7)=2,"0",IF(LEN(E7)=1,"00","")))&amp;'Web Links'!E7</f>
        <v>D06</v>
      </c>
      <c r="Q7" s="20" t="str">
        <f>IF(OR(LEFT('Web Links'!$C7,2)="In",$C7="Error"),"?????",IF(LEN(G7)=4,"",IF(LEN(G7)=3,"",IF(LEN(G7)=2,"",IF(LEN(G7)=1,"",""))))&amp;'Web Links'!G7)</f>
        <v/>
      </c>
      <c r="R7" s="20" t="str">
        <f>IF(OR(LEFT('Web Links'!$C7,2)="In",$C7="Error"),"???????????????",""&amp;F7)</f>
        <v/>
      </c>
    </row>
    <row r="8" spans="1:18" x14ac:dyDescent="0.2">
      <c r="A8" s="20" t="str">
        <f>IF('GL Template'!B22&lt;&gt;"",'GL Template'!B22,0)</f>
        <v>UMAMH</v>
      </c>
      <c r="B8" s="20" t="str">
        <f>IF('GL Template'!D22&lt;&gt;"",'GL Template'!D22,0)</f>
        <v>170940</v>
      </c>
      <c r="C8" s="20">
        <v>53106</v>
      </c>
      <c r="D8" s="20" t="s">
        <v>322</v>
      </c>
      <c r="E8" s="20" t="s">
        <v>295</v>
      </c>
      <c r="F8" s="20" t="s">
        <v>323</v>
      </c>
      <c r="N8" s="20" t="str">
        <f>IF(OR(LEFT('Web Links'!$C8,2)="In",$C8="Error"),"?????",""&amp;C8)</f>
        <v>53106</v>
      </c>
      <c r="O8" s="20" t="str">
        <f>IF(OR(LEFT('Web Links'!$C8,2)="In",$C8="Error"),"??????????",""&amp;D8)</f>
        <v>A040100062</v>
      </c>
      <c r="P8" s="20" t="str">
        <f>IF(OR(LEFT('Web Links'!$C8,2)="In",$C8="Error"),"???",IF(LEN(E8)=2,"0",IF(LEN(E8)=1,"00","")))&amp;'Web Links'!E8</f>
        <v>B03</v>
      </c>
      <c r="Q8" s="20" t="str">
        <f>IF(OR(LEFT('Web Links'!$C8,2)="In",$C8="Error"),"?????",IF(LEN(G8)=4,"",IF(LEN(G8)=3,"",IF(LEN(G8)=2,"",IF(LEN(G8)=1,"",""))))&amp;'Web Links'!G8)</f>
        <v/>
      </c>
      <c r="R8" s="20" t="str">
        <f>IF(OR(LEFT('Web Links'!$C8,2)="In",$C8="Error"),"???????????????",""&amp;F8)</f>
        <v>S11110000044795</v>
      </c>
    </row>
    <row r="9" spans="1:18" x14ac:dyDescent="0.2">
      <c r="A9" s="20" t="str">
        <f>IF('GL Template'!B23&lt;&gt;"",'GL Template'!B23,0)</f>
        <v>UMAMH</v>
      </c>
      <c r="B9" s="20" t="str">
        <f>IF('GL Template'!D23&lt;&gt;"",'GL Template'!D23,0)</f>
        <v>155226</v>
      </c>
      <c r="C9" s="20">
        <v>51511</v>
      </c>
      <c r="D9" s="20" t="s">
        <v>293</v>
      </c>
      <c r="E9" s="20" t="s">
        <v>290</v>
      </c>
      <c r="N9" s="20" t="str">
        <f>IF(OR(LEFT('Web Links'!$C9,2)="In",$C9="Error"),"?????",""&amp;C9)</f>
        <v>51511</v>
      </c>
      <c r="O9" s="20" t="str">
        <f>IF(OR(LEFT('Web Links'!$C9,2)="In",$C9="Error"),"??????????",""&amp;D9)</f>
        <v>A606363000</v>
      </c>
      <c r="P9" s="20" t="str">
        <f>IF(OR(LEFT('Web Links'!$C9,2)="In",$C9="Error"),"???",IF(LEN(E9)=2,"0",IF(LEN(E9)=1,"00","")))&amp;'Web Links'!E9</f>
        <v>D06</v>
      </c>
      <c r="Q9" s="20" t="str">
        <f>IF(OR(LEFT('Web Links'!$C9,2)="In",$C9="Error"),"?????",IF(LEN(G9)=4,"",IF(LEN(G9)=3,"",IF(LEN(G9)=2,"",IF(LEN(G9)=1,"",""))))&amp;'Web Links'!G9)</f>
        <v/>
      </c>
      <c r="R9" s="20" t="str">
        <f>IF(OR(LEFT('Web Links'!$C9,2)="In",$C9="Error"),"???????????????",""&amp;F9)</f>
        <v/>
      </c>
    </row>
    <row r="10" spans="1:18" x14ac:dyDescent="0.2">
      <c r="A10" s="20" t="str">
        <f>IF('GL Template'!B24&lt;&gt;"",'GL Template'!B24,0)</f>
        <v>UMAMH</v>
      </c>
      <c r="B10" s="20" t="str">
        <f>IF('GL Template'!D24&lt;&gt;"",'GL Template'!D24,0)</f>
        <v>163492</v>
      </c>
      <c r="C10" s="20">
        <v>53106</v>
      </c>
      <c r="D10" s="20" t="s">
        <v>327</v>
      </c>
      <c r="E10" s="20" t="s">
        <v>295</v>
      </c>
      <c r="F10" s="20" t="s">
        <v>328</v>
      </c>
      <c r="N10" s="20" t="str">
        <f>IF(OR(LEFT('Web Links'!$C10,2)="In",$C10="Error"),"?????",""&amp;C10)</f>
        <v>53106</v>
      </c>
      <c r="O10" s="20" t="str">
        <f>IF(OR(LEFT('Web Links'!$C10,2)="In",$C10="Error"),"??????????",""&amp;D10)</f>
        <v>A606321044</v>
      </c>
      <c r="P10" s="20" t="str">
        <f>IF(OR(LEFT('Web Links'!$C10,2)="In",$C10="Error"),"???",IF(LEN(E10)=2,"0",IF(LEN(E10)=1,"00","")))&amp;'Web Links'!E10</f>
        <v>B03</v>
      </c>
      <c r="Q10" s="20" t="str">
        <f>IF(OR(LEFT('Web Links'!$C10,2)="In",$C10="Error"),"?????",IF(LEN(G10)=4,"",IF(LEN(G10)=3,"",IF(LEN(G10)=2,"",IF(LEN(G10)=1,"",""))))&amp;'Web Links'!G10)</f>
        <v/>
      </c>
      <c r="R10" s="20" t="str">
        <f>IF(OR(LEFT('Web Links'!$C10,2)="In",$C10="Error"),"???????????????",""&amp;F10)</f>
        <v>S11110000000331</v>
      </c>
    </row>
    <row r="11" spans="1:18" x14ac:dyDescent="0.2">
      <c r="A11" s="20" t="str">
        <f>IF('GL Template'!B25&lt;&gt;"",'GL Template'!B25,0)</f>
        <v>UMAMH</v>
      </c>
      <c r="B11" s="20" t="str">
        <f>IF('GL Template'!D25&lt;&gt;"",'GL Template'!D25,0)</f>
        <v>155226</v>
      </c>
      <c r="C11" s="20">
        <v>51511</v>
      </c>
      <c r="D11" s="20" t="s">
        <v>293</v>
      </c>
      <c r="E11" s="20" t="s">
        <v>290</v>
      </c>
      <c r="N11" s="20" t="str">
        <f>IF(OR(LEFT('Web Links'!$C11,2)="In",$C11="Error"),"?????",""&amp;C11)</f>
        <v>51511</v>
      </c>
      <c r="O11" s="20" t="str">
        <f>IF(OR(LEFT('Web Links'!$C11,2)="In",$C11="Error"),"??????????",""&amp;D11)</f>
        <v>A606363000</v>
      </c>
      <c r="P11" s="20" t="str">
        <f>IF(OR(LEFT('Web Links'!$C11,2)="In",$C11="Error"),"???",IF(LEN(E11)=2,"0",IF(LEN(E11)=1,"00","")))&amp;'Web Links'!E11</f>
        <v>D06</v>
      </c>
      <c r="Q11" s="20" t="str">
        <f>IF(OR(LEFT('Web Links'!$C11,2)="In",$C11="Error"),"?????",IF(LEN(G11)=4,"",IF(LEN(G11)=3,"",IF(LEN(G11)=2,"",IF(LEN(G11)=1,"",""))))&amp;'Web Links'!G11)</f>
        <v/>
      </c>
      <c r="R11" s="20" t="str">
        <f>IF(OR(LEFT('Web Links'!$C11,2)="In",$C11="Error"),"???????????????",""&amp;F11)</f>
        <v/>
      </c>
    </row>
    <row r="12" spans="1:18" x14ac:dyDescent="0.2">
      <c r="A12" s="20" t="str">
        <f>IF('GL Template'!B26&lt;&gt;"",'GL Template'!B26,0)</f>
        <v>UMAMH</v>
      </c>
      <c r="B12" s="20" t="str">
        <f>IF('GL Template'!D26&lt;&gt;"",'GL Template'!D26,0)</f>
        <v>165594</v>
      </c>
      <c r="C12" s="20">
        <v>53106</v>
      </c>
      <c r="D12" s="20" t="s">
        <v>333</v>
      </c>
      <c r="E12" s="20" t="s">
        <v>295</v>
      </c>
      <c r="F12" s="20" t="s">
        <v>334</v>
      </c>
      <c r="N12" s="20" t="str">
        <f>IF(OR(LEFT('Web Links'!$C12,2)="In",$C12="Error"),"?????",""&amp;C12)</f>
        <v>53106</v>
      </c>
      <c r="O12" s="20" t="str">
        <f>IF(OR(LEFT('Web Links'!$C12,2)="In",$C12="Error"),"??????????",""&amp;D12)</f>
        <v>A040100033</v>
      </c>
      <c r="P12" s="20" t="str">
        <f>IF(OR(LEFT('Web Links'!$C12,2)="In",$C12="Error"),"???",IF(LEN(E12)=2,"0",IF(LEN(E12)=1,"00","")))&amp;'Web Links'!E12</f>
        <v>B03</v>
      </c>
      <c r="Q12" s="20" t="str">
        <f>IF(OR(LEFT('Web Links'!$C12,2)="In",$C12="Error"),"?????",IF(LEN(G12)=4,"",IF(LEN(G12)=3,"",IF(LEN(G12)=2,"",IF(LEN(G12)=1,"",""))))&amp;'Web Links'!G12)</f>
        <v/>
      </c>
      <c r="R12" s="20" t="str">
        <f>IF(OR(LEFT('Web Links'!$C12,2)="In",$C12="Error"),"???????????????",""&amp;F12)</f>
        <v>S12100000001358</v>
      </c>
    </row>
    <row r="13" spans="1:18" x14ac:dyDescent="0.2">
      <c r="A13" s="20" t="str">
        <f>IF('GL Template'!B27&lt;&gt;"",'GL Template'!B27,0)</f>
        <v>UMAMH</v>
      </c>
      <c r="B13" s="20" t="str">
        <f>IF('GL Template'!D27&lt;&gt;"",'GL Template'!D27,0)</f>
        <v>155226</v>
      </c>
      <c r="C13" s="20">
        <v>51511</v>
      </c>
      <c r="D13" s="20" t="s">
        <v>293</v>
      </c>
      <c r="E13" s="20" t="s">
        <v>290</v>
      </c>
      <c r="N13" s="20" t="str">
        <f>IF(OR(LEFT('Web Links'!$C13,2)="In",$C13="Error"),"?????",""&amp;C13)</f>
        <v>51511</v>
      </c>
      <c r="O13" s="20" t="str">
        <f>IF(OR(LEFT('Web Links'!$C13,2)="In",$C13="Error"),"??????????",""&amp;D13)</f>
        <v>A606363000</v>
      </c>
      <c r="P13" s="20" t="str">
        <f>IF(OR(LEFT('Web Links'!$C13,2)="In",$C13="Error"),"???",IF(LEN(E13)=2,"0",IF(LEN(E13)=1,"00","")))&amp;'Web Links'!E13</f>
        <v>D06</v>
      </c>
      <c r="Q13" s="20" t="str">
        <f>IF(OR(LEFT('Web Links'!$C13,2)="In",$C13="Error"),"?????",IF(LEN(G13)=4,"",IF(LEN(G13)=3,"",IF(LEN(G13)=2,"",IF(LEN(G13)=1,"",""))))&amp;'Web Links'!G13)</f>
        <v/>
      </c>
      <c r="R13" s="20" t="str">
        <f>IF(OR(LEFT('Web Links'!$C13,2)="In",$C13="Error"),"???????????????",""&amp;F13)</f>
        <v/>
      </c>
    </row>
    <row r="14" spans="1:18" x14ac:dyDescent="0.2">
      <c r="A14" s="20" t="str">
        <f>IF('GL Template'!B28&lt;&gt;"",'GL Template'!B28,0)</f>
        <v>UMAMH</v>
      </c>
      <c r="B14" s="20" t="str">
        <f>IF('GL Template'!D28&lt;&gt;"",'GL Template'!D28,0)</f>
        <v>165594</v>
      </c>
      <c r="C14" s="20">
        <v>53106</v>
      </c>
      <c r="D14" s="20" t="s">
        <v>333</v>
      </c>
      <c r="E14" s="22" t="s">
        <v>295</v>
      </c>
      <c r="F14" s="22" t="s">
        <v>334</v>
      </c>
      <c r="G14" s="22"/>
      <c r="H14" s="22"/>
      <c r="I14" s="22"/>
      <c r="J14" s="23"/>
      <c r="N14" s="20" t="str">
        <f>IF(OR(LEFT('Web Links'!$C14,2)="In",$C14="Error"),"?????",""&amp;C14)</f>
        <v>53106</v>
      </c>
      <c r="O14" s="20" t="str">
        <f>IF(OR(LEFT('Web Links'!$C14,2)="In",$C14="Error"),"??????????",""&amp;D14)</f>
        <v>A040100033</v>
      </c>
      <c r="P14" s="20" t="str">
        <f>IF(OR(LEFT('Web Links'!$C14,2)="In",$C14="Error"),"???",IF(LEN(E14)=2,"0",IF(LEN(E14)=1,"00","")))&amp;'Web Links'!E14</f>
        <v>B03</v>
      </c>
      <c r="Q14" s="20" t="str">
        <f>IF(OR(LEFT('Web Links'!$C14,2)="In",$C14="Error"),"?????",IF(LEN(G14)=4,"",IF(LEN(G14)=3,"",IF(LEN(G14)=2,"",IF(LEN(G14)=1,"",""))))&amp;'Web Links'!G14)</f>
        <v/>
      </c>
      <c r="R14" s="20" t="str">
        <f>IF(OR(LEFT('Web Links'!$C14,2)="In",$C14="Error"),"???????????????",""&amp;F14)</f>
        <v>S12100000001358</v>
      </c>
    </row>
    <row r="15" spans="1:18" x14ac:dyDescent="0.2">
      <c r="A15" s="20" t="str">
        <f>IF('GL Template'!B29&lt;&gt;"",'GL Template'!B29,0)</f>
        <v>UMAMH</v>
      </c>
      <c r="B15" s="20" t="str">
        <f>IF('GL Template'!D29&lt;&gt;"",'GL Template'!D29,0)</f>
        <v>155226</v>
      </c>
      <c r="C15" s="20">
        <v>51511</v>
      </c>
      <c r="D15" s="20" t="s">
        <v>293</v>
      </c>
      <c r="E15" s="22" t="s">
        <v>290</v>
      </c>
      <c r="F15" s="22"/>
      <c r="G15" s="22"/>
      <c r="H15" s="22"/>
      <c r="I15" s="22"/>
      <c r="N15" s="20" t="str">
        <f>IF(OR(LEFT('Web Links'!$C15,2)="In",$C15="Error"),"?????",""&amp;C15)</f>
        <v>51511</v>
      </c>
      <c r="O15" s="20" t="str">
        <f>IF(OR(LEFT('Web Links'!$C15,2)="In",$C15="Error"),"??????????",""&amp;D15)</f>
        <v>A606363000</v>
      </c>
      <c r="P15" s="20" t="str">
        <f>IF(OR(LEFT('Web Links'!$C15,2)="In",$C15="Error"),"???",IF(LEN(E15)=2,"0",IF(LEN(E15)=1,"00","")))&amp;'Web Links'!E15</f>
        <v>D06</v>
      </c>
      <c r="Q15" s="20" t="str">
        <f>IF(OR(LEFT('Web Links'!$C15,2)="In",$C15="Error"),"?????",IF(LEN(G15)=4,"",IF(LEN(G15)=3,"",IF(LEN(G15)=2,"",IF(LEN(G15)=1,"",""))))&amp;'Web Links'!G15)</f>
        <v/>
      </c>
      <c r="R15" s="20" t="str">
        <f>IF(OR(LEFT('Web Links'!$C15,2)="In",$C15="Error"),"???????????????",""&amp;F15)</f>
        <v/>
      </c>
    </row>
    <row r="16" spans="1:18" x14ac:dyDescent="0.2">
      <c r="A16" s="20" t="str">
        <f>IF('GL Template'!B30&lt;&gt;"",'GL Template'!B30,0)</f>
        <v>UMAMH</v>
      </c>
      <c r="B16" s="20" t="str">
        <f>IF('GL Template'!D30&lt;&gt;"",'GL Template'!D30,0)</f>
        <v>163052</v>
      </c>
      <c r="C16" s="20">
        <v>51344</v>
      </c>
      <c r="D16" s="20" t="s">
        <v>341</v>
      </c>
      <c r="E16" s="24" t="s">
        <v>296</v>
      </c>
      <c r="F16" s="24"/>
      <c r="G16" s="24" t="s">
        <v>342</v>
      </c>
      <c r="H16" s="24"/>
      <c r="I16" s="24"/>
      <c r="N16" s="20" t="str">
        <f>IF(OR(LEFT('Web Links'!$C16,2)="In",$C16="Error"),"?????",""&amp;C16)</f>
        <v>51344</v>
      </c>
      <c r="O16" s="20" t="str">
        <f>IF(OR(LEFT('Web Links'!$C16,2)="In",$C16="Error"),"??????????",""&amp;D16)</f>
        <v>A010400045</v>
      </c>
      <c r="P16" s="20" t="str">
        <f>IF(OR(LEFT('Web Links'!$C16,2)="In",$C16="Error"),"???",IF(LEN(E16)=2,"0",IF(LEN(E16)=1,"00","")))&amp;'Web Links'!E16</f>
        <v>A01</v>
      </c>
      <c r="Q16" s="20" t="str">
        <f>IF(OR(LEFT('Web Links'!$C16,2)="In",$C16="Error"),"?????",IF(LEN(G16)=4,"",IF(LEN(G16)=3,"",IF(LEN(G16)=2,"",IF(LEN(G16)=1,"",""))))&amp;'Web Links'!G16)</f>
        <v>E0820</v>
      </c>
      <c r="R16" s="20" t="str">
        <f>IF(OR(LEFT('Web Links'!$C16,2)="In",$C16="Error"),"???????????????",""&amp;F16)</f>
        <v/>
      </c>
    </row>
    <row r="17" spans="1:18" x14ac:dyDescent="0.2">
      <c r="A17" s="20" t="str">
        <f>IF('GL Template'!B31&lt;&gt;"",'GL Template'!B31,0)</f>
        <v>UMAMH</v>
      </c>
      <c r="B17" s="20" t="str">
        <f>IF('GL Template'!D31&lt;&gt;"",'GL Template'!D31,0)</f>
        <v>155226</v>
      </c>
      <c r="C17" s="20">
        <v>51511</v>
      </c>
      <c r="D17" s="20" t="s">
        <v>293</v>
      </c>
      <c r="E17" s="24" t="s">
        <v>290</v>
      </c>
      <c r="F17" s="24"/>
      <c r="G17" s="24"/>
      <c r="H17" s="24"/>
      <c r="I17" s="24"/>
      <c r="N17" s="20" t="str">
        <f>IF(OR(LEFT('Web Links'!$C17,2)="In",$C17="Error"),"?????",""&amp;C17)</f>
        <v>51511</v>
      </c>
      <c r="O17" s="20" t="str">
        <f>IF(OR(LEFT('Web Links'!$C17,2)="In",$C17="Error"),"??????????",""&amp;D17)</f>
        <v>A606363000</v>
      </c>
      <c r="P17" s="20" t="str">
        <f>IF(OR(LEFT('Web Links'!$C17,2)="In",$C17="Error"),"???",IF(LEN(E17)=2,"0",IF(LEN(E17)=1,"00","")))&amp;'Web Links'!E17</f>
        <v>D06</v>
      </c>
      <c r="Q17" s="20" t="str">
        <f>IF(OR(LEFT('Web Links'!$C17,2)="In",$C17="Error"),"?????",IF(LEN(G17)=4,"",IF(LEN(G17)=3,"",IF(LEN(G17)=2,"",IF(LEN(G17)=1,"",""))))&amp;'Web Links'!G17)</f>
        <v/>
      </c>
      <c r="R17" s="20" t="str">
        <f>IF(OR(LEFT('Web Links'!$C17,2)="In",$C17="Error"),"???????????????",""&amp;F17)</f>
        <v/>
      </c>
    </row>
    <row r="18" spans="1:18" x14ac:dyDescent="0.2">
      <c r="A18" s="20" t="str">
        <f>IF('GL Template'!B32&lt;&gt;"",'GL Template'!B32,0)</f>
        <v>UMAMH</v>
      </c>
      <c r="B18" s="20" t="str">
        <f>IF('GL Template'!D32&lt;&gt;"",'GL Template'!D32,0)</f>
        <v>166678</v>
      </c>
      <c r="C18" s="20">
        <v>53105</v>
      </c>
      <c r="D18" s="20" t="s">
        <v>347</v>
      </c>
      <c r="E18" s="24" t="s">
        <v>295</v>
      </c>
      <c r="F18" s="24" t="s">
        <v>348</v>
      </c>
      <c r="G18" s="24"/>
      <c r="H18" s="24"/>
      <c r="I18" s="24"/>
      <c r="N18" s="20" t="str">
        <f>IF(OR(LEFT('Web Links'!$C18,2)="In",$C18="Error"),"?????",""&amp;C18)</f>
        <v>53105</v>
      </c>
      <c r="O18" s="20" t="str">
        <f>IF(OR(LEFT('Web Links'!$C18,2)="In",$C18="Error"),"??????????",""&amp;D18)</f>
        <v>A040100097</v>
      </c>
      <c r="P18" s="20" t="str">
        <f>IF(OR(LEFT('Web Links'!$C18,2)="In",$C18="Error"),"???",IF(LEN(E18)=2,"0",IF(LEN(E18)=1,"00","")))&amp;'Web Links'!E18</f>
        <v>B03</v>
      </c>
      <c r="Q18" s="20" t="str">
        <f>IF(OR(LEFT('Web Links'!$C18,2)="In",$C18="Error"),"?????",IF(LEN(G18)=4,"",IF(LEN(G18)=3,"",IF(LEN(G18)=2,"",IF(LEN(G18)=1,"",""))))&amp;'Web Links'!G18)</f>
        <v/>
      </c>
      <c r="R18" s="20" t="str">
        <f>IF(OR(LEFT('Web Links'!$C18,2)="In",$C18="Error"),"???????????????",""&amp;F18)</f>
        <v>S12100000001379</v>
      </c>
    </row>
    <row r="19" spans="1:18" x14ac:dyDescent="0.2">
      <c r="A19" s="20" t="str">
        <f>IF('GL Template'!B33&lt;&gt;"",'GL Template'!B33,0)</f>
        <v>UMAMH</v>
      </c>
      <c r="B19" s="20" t="str">
        <f>IF('GL Template'!D33&lt;&gt;"",'GL Template'!D33,0)</f>
        <v>155226</v>
      </c>
      <c r="C19" s="20">
        <v>51511</v>
      </c>
      <c r="D19" s="20" t="s">
        <v>293</v>
      </c>
      <c r="E19" s="24" t="s">
        <v>290</v>
      </c>
      <c r="F19" s="24"/>
      <c r="G19" s="24"/>
      <c r="H19" s="24"/>
      <c r="I19" s="24"/>
      <c r="N19" s="20" t="str">
        <f>IF(OR(LEFT('Web Links'!$C19,2)="In",$C19="Error"),"?????",""&amp;C19)</f>
        <v>51511</v>
      </c>
      <c r="O19" s="20" t="str">
        <f>IF(OR(LEFT('Web Links'!$C19,2)="In",$C19="Error"),"??????????",""&amp;D19)</f>
        <v>A606363000</v>
      </c>
      <c r="P19" s="20" t="str">
        <f>IF(OR(LEFT('Web Links'!$C19,2)="In",$C19="Error"),"???",IF(LEN(E19)=2,"0",IF(LEN(E19)=1,"00","")))&amp;'Web Links'!E19</f>
        <v>D06</v>
      </c>
      <c r="Q19" s="20" t="str">
        <f>IF(OR(LEFT('Web Links'!$C19,2)="In",$C19="Error"),"?????",IF(LEN(G19)=4,"",IF(LEN(G19)=3,"",IF(LEN(G19)=2,"",IF(LEN(G19)=1,"",""))))&amp;'Web Links'!G19)</f>
        <v/>
      </c>
      <c r="R19" s="20" t="str">
        <f>IF(OR(LEFT('Web Links'!$C19,2)="In",$C19="Error"),"???????????????",""&amp;F19)</f>
        <v/>
      </c>
    </row>
    <row r="20" spans="1:18" x14ac:dyDescent="0.2">
      <c r="A20" s="20" t="str">
        <f>IF('GL Template'!B34&lt;&gt;"",'GL Template'!B34,0)</f>
        <v>UMAMH</v>
      </c>
      <c r="B20" s="20" t="str">
        <f>IF('GL Template'!D34&lt;&gt;"",'GL Template'!D34,0)</f>
        <v>166441</v>
      </c>
      <c r="C20" s="20">
        <v>53415</v>
      </c>
      <c r="D20" s="20" t="s">
        <v>352</v>
      </c>
      <c r="E20" s="24" t="s">
        <v>295</v>
      </c>
      <c r="F20" s="24" t="s">
        <v>353</v>
      </c>
      <c r="G20" s="24"/>
      <c r="H20" s="24"/>
      <c r="I20" s="24"/>
      <c r="N20" s="20" t="str">
        <f>IF(OR(LEFT('Web Links'!$C20,2)="In",$C20="Error"),"?????",""&amp;C20)</f>
        <v>53415</v>
      </c>
      <c r="O20" s="20" t="str">
        <f>IF(OR(LEFT('Web Links'!$C20,2)="In",$C20="Error"),"??????????",""&amp;D20)</f>
        <v>A090700036</v>
      </c>
      <c r="P20" s="20" t="str">
        <f>IF(OR(LEFT('Web Links'!$C20,2)="In",$C20="Error"),"???",IF(LEN(E20)=2,"0",IF(LEN(E20)=1,"00","")))&amp;'Web Links'!E20</f>
        <v>B03</v>
      </c>
      <c r="Q20" s="20" t="str">
        <f>IF(OR(LEFT('Web Links'!$C20,2)="In",$C20="Error"),"?????",IF(LEN(G20)=4,"",IF(LEN(G20)=3,"",IF(LEN(G20)=2,"",IF(LEN(G20)=1,"",""))))&amp;'Web Links'!G20)</f>
        <v/>
      </c>
      <c r="R20" s="20" t="str">
        <f>IF(OR(LEFT('Web Links'!$C20,2)="In",$C20="Error"),"???????????????",""&amp;F20)</f>
        <v>S19110000000067</v>
      </c>
    </row>
    <row r="21" spans="1:18" x14ac:dyDescent="0.2">
      <c r="A21" s="20" t="str">
        <f>IF('GL Template'!B35&lt;&gt;"",'GL Template'!B35,0)</f>
        <v>UMAMH</v>
      </c>
      <c r="B21" s="20" t="str">
        <f>IF('GL Template'!D35&lt;&gt;"",'GL Template'!D35,0)</f>
        <v>155226</v>
      </c>
      <c r="C21" s="20">
        <v>51511</v>
      </c>
      <c r="D21" s="20" t="s">
        <v>293</v>
      </c>
      <c r="E21" s="24" t="s">
        <v>290</v>
      </c>
      <c r="F21" s="24"/>
      <c r="G21" s="24"/>
      <c r="H21" s="24"/>
      <c r="I21" s="24"/>
      <c r="N21" s="20" t="str">
        <f>IF(OR(LEFT('Web Links'!$C21,2)="In",$C21="Error"),"?????",""&amp;C21)</f>
        <v>51511</v>
      </c>
      <c r="O21" s="20" t="str">
        <f>IF(OR(LEFT('Web Links'!$C21,2)="In",$C21="Error"),"??????????",""&amp;D21)</f>
        <v>A606363000</v>
      </c>
      <c r="P21" s="20" t="str">
        <f>IF(OR(LEFT('Web Links'!$C21,2)="In",$C21="Error"),"???",IF(LEN(E21)=2,"0",IF(LEN(E21)=1,"00","")))&amp;'Web Links'!E21</f>
        <v>D06</v>
      </c>
      <c r="Q21" s="20" t="str">
        <f>IF(OR(LEFT('Web Links'!$C21,2)="In",$C21="Error"),"?????",IF(LEN(G21)=4,"",IF(LEN(G21)=3,"",IF(LEN(G21)=2,"",IF(LEN(G21)=1,"",""))))&amp;'Web Links'!G21)</f>
        <v/>
      </c>
      <c r="R21" s="20" t="str">
        <f>IF(OR(LEFT('Web Links'!$C21,2)="In",$C21="Error"),"???????????????",""&amp;F21)</f>
        <v/>
      </c>
    </row>
    <row r="22" spans="1:18" x14ac:dyDescent="0.2">
      <c r="A22" s="20" t="str">
        <f>IF('GL Template'!B36&lt;&gt;"",'GL Template'!B36,0)</f>
        <v>UMAMH</v>
      </c>
      <c r="B22" s="20" t="str">
        <f>IF('GL Template'!D36&lt;&gt;"",'GL Template'!D36,0)</f>
        <v>130989</v>
      </c>
      <c r="C22" s="20">
        <v>52132</v>
      </c>
      <c r="D22" s="20" t="s">
        <v>357</v>
      </c>
      <c r="E22" s="24" t="s">
        <v>296</v>
      </c>
      <c r="F22" s="24"/>
      <c r="G22" s="24"/>
      <c r="H22" s="24"/>
      <c r="I22" s="24"/>
      <c r="N22" s="20" t="str">
        <f>IF(OR(LEFT('Web Links'!$C22,2)="In",$C22="Error"),"?????",""&amp;C22)</f>
        <v>52132</v>
      </c>
      <c r="O22" s="20" t="str">
        <f>IF(OR(LEFT('Web Links'!$C22,2)="In",$C22="Error"),"??????????",""&amp;D22)</f>
        <v>A040100058</v>
      </c>
      <c r="P22" s="20" t="str">
        <f>IF(OR(LEFT('Web Links'!$C22,2)="In",$C22="Error"),"???",IF(LEN(E22)=2,"0",IF(LEN(E22)=1,"00","")))&amp;'Web Links'!E22</f>
        <v>A01</v>
      </c>
      <c r="Q22" s="20" t="str">
        <f>IF(OR(LEFT('Web Links'!$C22,2)="In",$C22="Error"),"?????",IF(LEN(G22)=4,"",IF(LEN(G22)=3,"",IF(LEN(G22)=2,"",IF(LEN(G22)=1,"",""))))&amp;'Web Links'!G22)</f>
        <v/>
      </c>
      <c r="R22" s="20" t="str">
        <f>IF(OR(LEFT('Web Links'!$C22,2)="In",$C22="Error"),"???????????????",""&amp;F22)</f>
        <v/>
      </c>
    </row>
    <row r="23" spans="1:18" x14ac:dyDescent="0.2">
      <c r="A23" s="20" t="str">
        <f>IF('GL Template'!B37&lt;&gt;"",'GL Template'!B37,0)</f>
        <v>UMAMH</v>
      </c>
      <c r="B23" s="20" t="str">
        <f>IF('GL Template'!D37&lt;&gt;"",'GL Template'!D37,0)</f>
        <v>155226</v>
      </c>
      <c r="C23" s="20">
        <v>51511</v>
      </c>
      <c r="D23" s="20" t="s">
        <v>293</v>
      </c>
      <c r="E23" s="24" t="s">
        <v>290</v>
      </c>
      <c r="F23" s="24"/>
      <c r="G23" s="24"/>
      <c r="H23" s="24"/>
      <c r="I23" s="24"/>
      <c r="N23" s="20" t="str">
        <f>IF(OR(LEFT('Web Links'!$C23,2)="In",$C23="Error"),"?????",""&amp;C23)</f>
        <v>51511</v>
      </c>
      <c r="O23" s="20" t="str">
        <f>IF(OR(LEFT('Web Links'!$C23,2)="In",$C23="Error"),"??????????",""&amp;D23)</f>
        <v>A606363000</v>
      </c>
      <c r="P23" s="20" t="str">
        <f>IF(OR(LEFT('Web Links'!$C23,2)="In",$C23="Error"),"???",IF(LEN(E23)=2,"0",IF(LEN(E23)=1,"00","")))&amp;'Web Links'!E23</f>
        <v>D06</v>
      </c>
      <c r="Q23" s="20" t="str">
        <f>IF(OR(LEFT('Web Links'!$C23,2)="In",$C23="Error"),"?????",IF(LEN(G23)=4,"",IF(LEN(G23)=3,"",IF(LEN(G23)=2,"",IF(LEN(G23)=1,"",""))))&amp;'Web Links'!G23)</f>
        <v/>
      </c>
      <c r="R23" s="20" t="str">
        <f>IF(OR(LEFT('Web Links'!$C23,2)="In",$C23="Error"),"???????????????",""&amp;F23)</f>
        <v/>
      </c>
    </row>
    <row r="24" spans="1:18" x14ac:dyDescent="0.2">
      <c r="A24" s="20" t="str">
        <f>IF('GL Template'!B38&lt;&gt;"",'GL Template'!B38,0)</f>
        <v>UMAMH</v>
      </c>
      <c r="B24" s="20" t="str">
        <f>IF('GL Template'!D38&lt;&gt;"",'GL Template'!D38,0)</f>
        <v>164262</v>
      </c>
      <c r="C24" s="20">
        <v>52132</v>
      </c>
      <c r="D24" s="20" t="s">
        <v>361</v>
      </c>
      <c r="E24" s="24" t="s">
        <v>296</v>
      </c>
      <c r="F24" s="24"/>
      <c r="G24" s="24"/>
      <c r="H24" s="24"/>
      <c r="I24" s="24"/>
      <c r="N24" s="20" t="str">
        <f>IF(OR(LEFT('Web Links'!$C24,2)="In",$C24="Error"),"?????",""&amp;C24)</f>
        <v>52132</v>
      </c>
      <c r="O24" s="20" t="str">
        <f>IF(OR(LEFT('Web Links'!$C24,2)="In",$C24="Error"),"??????????",""&amp;D24)</f>
        <v>A606108000</v>
      </c>
      <c r="P24" s="20" t="str">
        <f>IF(OR(LEFT('Web Links'!$C24,2)="In",$C24="Error"),"???",IF(LEN(E24)=2,"0",IF(LEN(E24)=1,"00","")))&amp;'Web Links'!E24</f>
        <v>A01</v>
      </c>
      <c r="Q24" s="20" t="str">
        <f>IF(OR(LEFT('Web Links'!$C24,2)="In",$C24="Error"),"?????",IF(LEN(G24)=4,"",IF(LEN(G24)=3,"",IF(LEN(G24)=2,"",IF(LEN(G24)=1,"",""))))&amp;'Web Links'!G24)</f>
        <v/>
      </c>
      <c r="R24" s="20" t="str">
        <f>IF(OR(LEFT('Web Links'!$C24,2)="In",$C24="Error"),"???????????????",""&amp;F24)</f>
        <v/>
      </c>
    </row>
    <row r="25" spans="1:18" x14ac:dyDescent="0.2">
      <c r="A25" s="20" t="str">
        <f>IF('GL Template'!B39&lt;&gt;"",'GL Template'!B39,0)</f>
        <v>UMAMH</v>
      </c>
      <c r="B25" s="20" t="str">
        <f>IF('GL Template'!D39&lt;&gt;"",'GL Template'!D39,0)</f>
        <v>155226</v>
      </c>
      <c r="C25" s="20">
        <v>51511</v>
      </c>
      <c r="D25" s="20" t="s">
        <v>293</v>
      </c>
      <c r="E25" s="24" t="s">
        <v>290</v>
      </c>
      <c r="F25" s="24"/>
      <c r="G25" s="24"/>
      <c r="H25" s="24"/>
      <c r="I25" s="24"/>
      <c r="N25" s="20" t="str">
        <f>IF(OR(LEFT('Web Links'!$C25,2)="In",$C25="Error"),"?????",""&amp;C25)</f>
        <v>51511</v>
      </c>
      <c r="O25" s="20" t="str">
        <f>IF(OR(LEFT('Web Links'!$C25,2)="In",$C25="Error"),"??????????",""&amp;D25)</f>
        <v>A606363000</v>
      </c>
      <c r="P25" s="20" t="str">
        <f>IF(OR(LEFT('Web Links'!$C25,2)="In",$C25="Error"),"???",IF(LEN(E25)=2,"0",IF(LEN(E25)=1,"00","")))&amp;'Web Links'!E25</f>
        <v>D06</v>
      </c>
      <c r="Q25" s="20" t="str">
        <f>IF(OR(LEFT('Web Links'!$C25,2)="In",$C25="Error"),"?????",IF(LEN(G25)=4,"",IF(LEN(G25)=3,"",IF(LEN(G25)=2,"",IF(LEN(G25)=1,"",""))))&amp;'Web Links'!G25)</f>
        <v/>
      </c>
      <c r="R25" s="20" t="str">
        <f>IF(OR(LEFT('Web Links'!$C25,2)="In",$C25="Error"),"???????????????",""&amp;F25)</f>
        <v/>
      </c>
    </row>
    <row r="26" spans="1:18" x14ac:dyDescent="0.2">
      <c r="A26" s="20" t="str">
        <f>IF('GL Template'!B40&lt;&gt;"",'GL Template'!B40,0)</f>
        <v>UMAMH</v>
      </c>
      <c r="B26" s="20" t="str">
        <f>IF('GL Template'!D40&lt;&gt;"",'GL Template'!D40,0)</f>
        <v>164262</v>
      </c>
      <c r="C26" s="20">
        <v>52132</v>
      </c>
      <c r="D26" s="20" t="s">
        <v>361</v>
      </c>
      <c r="E26" s="20" t="s">
        <v>296</v>
      </c>
      <c r="N26" s="20" t="str">
        <f>IF(OR(LEFT('Web Links'!$C26,2)="In",$C26="Error"),"?????",""&amp;C26)</f>
        <v>52132</v>
      </c>
      <c r="O26" s="20" t="str">
        <f>IF(OR(LEFT('Web Links'!$C26,2)="In",$C26="Error"),"??????????",""&amp;D26)</f>
        <v>A606108000</v>
      </c>
      <c r="P26" s="20" t="str">
        <f>IF(OR(LEFT('Web Links'!$C26,2)="In",$C26="Error"),"???",IF(LEN(E26)=2,"0",IF(LEN(E26)=1,"00","")))&amp;'Web Links'!E26</f>
        <v>A01</v>
      </c>
      <c r="Q26" s="20" t="str">
        <f>IF(OR(LEFT('Web Links'!$C26,2)="In",$C26="Error"),"?????",IF(LEN(G26)=4,"",IF(LEN(G26)=3,"",IF(LEN(G26)=2,"",IF(LEN(G26)=1,"",""))))&amp;'Web Links'!G26)</f>
        <v/>
      </c>
      <c r="R26" s="20" t="str">
        <f>IF(OR(LEFT('Web Links'!$C26,2)="In",$C26="Error"),"???????????????",""&amp;F26)</f>
        <v/>
      </c>
    </row>
    <row r="27" spans="1:18" x14ac:dyDescent="0.2">
      <c r="A27" s="20" t="str">
        <f>IF('GL Template'!B41&lt;&gt;"",'GL Template'!B41,0)</f>
        <v>UMAMH</v>
      </c>
      <c r="B27" s="20" t="str">
        <f>IF('GL Template'!D41&lt;&gt;"",'GL Template'!D41,0)</f>
        <v>155226</v>
      </c>
      <c r="C27" s="20">
        <v>51511</v>
      </c>
      <c r="D27" s="20" t="s">
        <v>293</v>
      </c>
      <c r="E27" s="20" t="s">
        <v>290</v>
      </c>
      <c r="N27" s="20" t="str">
        <f>IF(OR(LEFT('Web Links'!$C27,2)="In",$C27="Error"),"?????",""&amp;C27)</f>
        <v>51511</v>
      </c>
      <c r="O27" s="20" t="str">
        <f>IF(OR(LEFT('Web Links'!$C27,2)="In",$C27="Error"),"??????????",""&amp;D27)</f>
        <v>A606363000</v>
      </c>
      <c r="P27" s="20" t="str">
        <f>IF(OR(LEFT('Web Links'!$C27,2)="In",$C27="Error"),"???",IF(LEN(E27)=2,"0",IF(LEN(E27)=1,"00","")))&amp;'Web Links'!E27</f>
        <v>D06</v>
      </c>
      <c r="Q27" s="20" t="str">
        <f>IF(OR(LEFT('Web Links'!$C27,2)="In",$C27="Error"),"?????",IF(LEN(G27)=4,"",IF(LEN(G27)=3,"",IF(LEN(G27)=2,"",IF(LEN(G27)=1,"",""))))&amp;'Web Links'!G27)</f>
        <v/>
      </c>
      <c r="R27" s="20" t="str">
        <f>IF(OR(LEFT('Web Links'!$C27,2)="In",$C27="Error"),"???????????????",""&amp;F27)</f>
        <v/>
      </c>
    </row>
    <row r="28" spans="1:18" x14ac:dyDescent="0.2">
      <c r="A28" s="20" t="str">
        <f>IF('GL Template'!B42&lt;&gt;"",'GL Template'!B42,0)</f>
        <v>UMAMH</v>
      </c>
      <c r="B28" s="20" t="str">
        <f>IF('GL Template'!D42&lt;&gt;"",'GL Template'!D42,0)</f>
        <v>164387</v>
      </c>
      <c r="C28" s="20">
        <v>51344</v>
      </c>
      <c r="D28" s="20" t="s">
        <v>366</v>
      </c>
      <c r="E28" s="20" t="s">
        <v>296</v>
      </c>
      <c r="G28" s="20" t="s">
        <v>367</v>
      </c>
      <c r="N28" s="20" t="str">
        <f>IF(OR(LEFT('Web Links'!$C28,2)="In",$C28="Error"),"?????",""&amp;C28)</f>
        <v>51344</v>
      </c>
      <c r="O28" s="20" t="str">
        <f>IF(OR(LEFT('Web Links'!$C28,2)="In",$C28="Error"),"??????????",""&amp;D28)</f>
        <v>A090700044</v>
      </c>
      <c r="P28" s="20" t="str">
        <f>IF(OR(LEFT('Web Links'!$C28,2)="In",$C28="Error"),"???",IF(LEN(E28)=2,"0",IF(LEN(E28)=1,"00","")))&amp;'Web Links'!E28</f>
        <v>A01</v>
      </c>
      <c r="Q28" s="20" t="str">
        <f>IF(OR(LEFT('Web Links'!$C28,2)="In",$C28="Error"),"?????",IF(LEN(G28)=4,"",IF(LEN(G28)=3,"",IF(LEN(G28)=2,"",IF(LEN(G28)=1,"",""))))&amp;'Web Links'!G28)</f>
        <v>E0821</v>
      </c>
      <c r="R28" s="20" t="str">
        <f>IF(OR(LEFT('Web Links'!$C28,2)="In",$C28="Error"),"???????????????",""&amp;F28)</f>
        <v/>
      </c>
    </row>
    <row r="29" spans="1:18" x14ac:dyDescent="0.2">
      <c r="A29" s="20" t="str">
        <f>IF('GL Template'!B43&lt;&gt;"",'GL Template'!B43,0)</f>
        <v>UMAMH</v>
      </c>
      <c r="B29" s="20" t="str">
        <f>IF('GL Template'!D43&lt;&gt;"",'GL Template'!D43,0)</f>
        <v>155226</v>
      </c>
      <c r="C29" s="20">
        <v>51511</v>
      </c>
      <c r="D29" s="20" t="s">
        <v>293</v>
      </c>
      <c r="E29" s="20" t="s">
        <v>290</v>
      </c>
      <c r="N29" s="20" t="str">
        <f>IF(OR(LEFT('Web Links'!$C29,2)="In",$C29="Error"),"?????",""&amp;C29)</f>
        <v>51511</v>
      </c>
      <c r="O29" s="20" t="str">
        <f>IF(OR(LEFT('Web Links'!$C29,2)="In",$C29="Error"),"??????????",""&amp;D29)</f>
        <v>A606363000</v>
      </c>
      <c r="P29" s="20" t="str">
        <f>IF(OR(LEFT('Web Links'!$C29,2)="In",$C29="Error"),"???",IF(LEN(E29)=2,"0",IF(LEN(E29)=1,"00","")))&amp;'Web Links'!E29</f>
        <v>D06</v>
      </c>
      <c r="Q29" s="20" t="str">
        <f>IF(OR(LEFT('Web Links'!$C29,2)="In",$C29="Error"),"?????",IF(LEN(G29)=4,"",IF(LEN(G29)=3,"",IF(LEN(G29)=2,"",IF(LEN(G29)=1,"",""))))&amp;'Web Links'!G29)</f>
        <v/>
      </c>
      <c r="R29" s="20" t="str">
        <f>IF(OR(LEFT('Web Links'!$C29,2)="In",$C29="Error"),"???????????????",""&amp;F29)</f>
        <v/>
      </c>
    </row>
    <row r="30" spans="1:18" x14ac:dyDescent="0.2">
      <c r="A30" s="20" t="str">
        <f>IF('GL Template'!B44&lt;&gt;"",'GL Template'!B44,0)</f>
        <v>UMAMH</v>
      </c>
      <c r="B30" s="20" t="str">
        <f>IF('GL Template'!D44&lt;&gt;"",'GL Template'!D44,0)</f>
        <v>167776</v>
      </c>
      <c r="C30" s="20">
        <v>53106</v>
      </c>
      <c r="D30" s="20" t="s">
        <v>371</v>
      </c>
      <c r="E30" s="20" t="s">
        <v>295</v>
      </c>
      <c r="F30" s="20" t="s">
        <v>372</v>
      </c>
      <c r="N30" s="20" t="str">
        <f>IF(OR(LEFT('Web Links'!$C30,2)="In",$C30="Error"),"?????",""&amp;C30)</f>
        <v>53106</v>
      </c>
      <c r="O30" s="20" t="str">
        <f>IF(OR(LEFT('Web Links'!$C30,2)="In",$C30="Error"),"??????????",""&amp;D30)</f>
        <v>A040100086</v>
      </c>
      <c r="P30" s="20" t="str">
        <f>IF(OR(LEFT('Web Links'!$C30,2)="In",$C30="Error"),"???",IF(LEN(E30)=2,"0",IF(LEN(E30)=1,"00","")))&amp;'Web Links'!E30</f>
        <v>B03</v>
      </c>
      <c r="Q30" s="20" t="str">
        <f>IF(OR(LEFT('Web Links'!$C30,2)="In",$C30="Error"),"?????",IF(LEN(G30)=4,"",IF(LEN(G30)=3,"",IF(LEN(G30)=2,"",IF(LEN(G30)=1,"",""))))&amp;'Web Links'!G30)</f>
        <v/>
      </c>
      <c r="R30" s="20" t="str">
        <f>IF(OR(LEFT('Web Links'!$C30,2)="In",$C30="Error"),"???????????????",""&amp;F30)</f>
        <v>S11110000000387</v>
      </c>
    </row>
    <row r="31" spans="1:18" x14ac:dyDescent="0.2">
      <c r="A31" s="20" t="str">
        <f>IF('GL Template'!B45&lt;&gt;"",'GL Template'!B45,0)</f>
        <v>UMAMH</v>
      </c>
      <c r="B31" s="20" t="str">
        <f>IF('GL Template'!D45&lt;&gt;"",'GL Template'!D45,0)</f>
        <v>155226</v>
      </c>
      <c r="C31" s="20">
        <v>51511</v>
      </c>
      <c r="D31" s="20" t="s">
        <v>293</v>
      </c>
      <c r="E31" s="20" t="s">
        <v>290</v>
      </c>
      <c r="N31" s="20" t="str">
        <f>IF(OR(LEFT('Web Links'!$C31,2)="In",$C31="Error"),"?????",""&amp;C31)</f>
        <v>51511</v>
      </c>
      <c r="O31" s="20" t="str">
        <f>IF(OR(LEFT('Web Links'!$C31,2)="In",$C31="Error"),"??????????",""&amp;D31)</f>
        <v>A606363000</v>
      </c>
      <c r="P31" s="20" t="str">
        <f>IF(OR(LEFT('Web Links'!$C31,2)="In",$C31="Error"),"???",IF(LEN(E31)=2,"0",IF(LEN(E31)=1,"00","")))&amp;'Web Links'!E31</f>
        <v>D06</v>
      </c>
      <c r="Q31" s="20" t="str">
        <f>IF(OR(LEFT('Web Links'!$C31,2)="In",$C31="Error"),"?????",IF(LEN(G31)=4,"",IF(LEN(G31)=3,"",IF(LEN(G31)=2,"",IF(LEN(G31)=1,"",""))))&amp;'Web Links'!G31)</f>
        <v/>
      </c>
      <c r="R31" s="20" t="str">
        <f>IF(OR(LEFT('Web Links'!$C31,2)="In",$C31="Error"),"???????????????",""&amp;F31)</f>
        <v/>
      </c>
    </row>
    <row r="32" spans="1:18" x14ac:dyDescent="0.2">
      <c r="A32" s="20" t="str">
        <f>IF('GL Template'!B46&lt;&gt;"",'GL Template'!B46,0)</f>
        <v>UMAMH</v>
      </c>
      <c r="B32" s="20" t="str">
        <f>IF('GL Template'!D46&lt;&gt;"",'GL Template'!D46,0)</f>
        <v>161746</v>
      </c>
      <c r="C32" s="20">
        <v>51344</v>
      </c>
      <c r="D32" s="20" t="s">
        <v>376</v>
      </c>
      <c r="E32" s="20" t="s">
        <v>296</v>
      </c>
      <c r="G32" s="20" t="s">
        <v>377</v>
      </c>
      <c r="N32" s="20" t="str">
        <f>IF(OR(LEFT('Web Links'!$C32,2)="In",$C32="Error"),"?????",""&amp;C32)</f>
        <v>51344</v>
      </c>
      <c r="O32" s="20" t="str">
        <f>IF(OR(LEFT('Web Links'!$C32,2)="In",$C32="Error"),"??????????",""&amp;D32)</f>
        <v>A090600041</v>
      </c>
      <c r="P32" s="20" t="str">
        <f>IF(OR(LEFT('Web Links'!$C32,2)="In",$C32="Error"),"???",IF(LEN(E32)=2,"0",IF(LEN(E32)=1,"00","")))&amp;'Web Links'!E32</f>
        <v>A01</v>
      </c>
      <c r="Q32" s="20" t="str">
        <f>IF(OR(LEFT('Web Links'!$C32,2)="In",$C32="Error"),"?????",IF(LEN(G32)=4,"",IF(LEN(G32)=3,"",IF(LEN(G32)=2,"",IF(LEN(G32)=1,"",""))))&amp;'Web Links'!G32)</f>
        <v>E0921</v>
      </c>
      <c r="R32" s="20" t="str">
        <f>IF(OR(LEFT('Web Links'!$C32,2)="In",$C32="Error"),"???????????????",""&amp;F32)</f>
        <v/>
      </c>
    </row>
    <row r="33" spans="1:18" x14ac:dyDescent="0.2">
      <c r="A33" s="20" t="str">
        <f>IF('GL Template'!B47&lt;&gt;"",'GL Template'!B47,0)</f>
        <v>UMAMH</v>
      </c>
      <c r="B33" s="20" t="str">
        <f>IF('GL Template'!D47&lt;&gt;"",'GL Template'!D47,0)</f>
        <v>155226</v>
      </c>
      <c r="C33" s="20">
        <v>51511</v>
      </c>
      <c r="D33" s="20" t="s">
        <v>293</v>
      </c>
      <c r="E33" s="20" t="s">
        <v>290</v>
      </c>
      <c r="N33" s="20" t="str">
        <f>IF(OR(LEFT('Web Links'!$C33,2)="In",$C33="Error"),"?????",""&amp;C33)</f>
        <v>51511</v>
      </c>
      <c r="O33" s="20" t="str">
        <f>IF(OR(LEFT('Web Links'!$C33,2)="In",$C33="Error"),"??????????",""&amp;D33)</f>
        <v>A606363000</v>
      </c>
      <c r="P33" s="20" t="str">
        <f>IF(OR(LEFT('Web Links'!$C33,2)="In",$C33="Error"),"???",IF(LEN(E33)=2,"0",IF(LEN(E33)=1,"00","")))&amp;'Web Links'!E33</f>
        <v>D06</v>
      </c>
      <c r="Q33" s="20" t="str">
        <f>IF(OR(LEFT('Web Links'!$C33,2)="In",$C33="Error"),"?????",IF(LEN(G33)=4,"",IF(LEN(G33)=3,"",IF(LEN(G33)=2,"",IF(LEN(G33)=1,"",""))))&amp;'Web Links'!G33)</f>
        <v/>
      </c>
      <c r="R33" s="20" t="str">
        <f>IF(OR(LEFT('Web Links'!$C33,2)="In",$C33="Error"),"???????????????",""&amp;F33)</f>
        <v/>
      </c>
    </row>
    <row r="34" spans="1:18" x14ac:dyDescent="0.2">
      <c r="A34" s="20" t="str">
        <f>IF('GL Template'!B48&lt;&gt;"",'GL Template'!B48,0)</f>
        <v>UMAMH</v>
      </c>
      <c r="B34" s="20" t="str">
        <f>IF('GL Template'!D48&lt;&gt;"",'GL Template'!D48,0)</f>
        <v>166718</v>
      </c>
      <c r="C34" s="20">
        <v>53405</v>
      </c>
      <c r="D34" s="20" t="s">
        <v>382</v>
      </c>
      <c r="E34" s="20" t="s">
        <v>295</v>
      </c>
      <c r="F34" s="20" t="s">
        <v>383</v>
      </c>
      <c r="N34" s="20" t="str">
        <f>IF(OR(LEFT('Web Links'!$C34,2)="In",$C34="Error"),"?????",""&amp;C34)</f>
        <v>53405</v>
      </c>
      <c r="O34" s="20" t="str">
        <f>IF(OR(LEFT('Web Links'!$C34,2)="In",$C34="Error"),"??????????",""&amp;D34)</f>
        <v>A606240041</v>
      </c>
      <c r="P34" s="20" t="str">
        <f>IF(OR(LEFT('Web Links'!$C34,2)="In",$C34="Error"),"???",IF(LEN(E34)=2,"0",IF(LEN(E34)=1,"00","")))&amp;'Web Links'!E34</f>
        <v>B03</v>
      </c>
      <c r="Q34" s="20" t="str">
        <f>IF(OR(LEFT('Web Links'!$C34,2)="In",$C34="Error"),"?????",IF(LEN(G34)=4,"",IF(LEN(G34)=3,"",IF(LEN(G34)=2,"",IF(LEN(G34)=1,"",""))))&amp;'Web Links'!G34)</f>
        <v/>
      </c>
      <c r="R34" s="20" t="str">
        <f>IF(OR(LEFT('Web Links'!$C34,2)="In",$C34="Error"),"???????????????",""&amp;F34)</f>
        <v>S17110000000343</v>
      </c>
    </row>
    <row r="35" spans="1:18" x14ac:dyDescent="0.2">
      <c r="A35" s="20" t="str">
        <f>IF('GL Template'!B49&lt;&gt;"",'GL Template'!B49,0)</f>
        <v>UMAMH</v>
      </c>
      <c r="B35" s="20" t="str">
        <f>IF('GL Template'!D49&lt;&gt;"",'GL Template'!D49,0)</f>
        <v>155226</v>
      </c>
      <c r="C35" s="20">
        <v>51511</v>
      </c>
      <c r="D35" s="20" t="s">
        <v>293</v>
      </c>
      <c r="E35" s="20" t="s">
        <v>290</v>
      </c>
      <c r="N35" s="20" t="str">
        <f>IF(OR(LEFT('Web Links'!$C35,2)="In",$C35="Error"),"?????",""&amp;C35)</f>
        <v>51511</v>
      </c>
      <c r="O35" s="20" t="str">
        <f>IF(OR(LEFT('Web Links'!$C35,2)="In",$C35="Error"),"??????????",""&amp;D35)</f>
        <v>A606363000</v>
      </c>
      <c r="P35" s="20" t="str">
        <f>IF(OR(LEFT('Web Links'!$C35,2)="In",$C35="Error"),"???",IF(LEN(E35)=2,"0",IF(LEN(E35)=1,"00","")))&amp;'Web Links'!E35</f>
        <v>D06</v>
      </c>
      <c r="Q35" s="20" t="str">
        <f>IF(OR(LEFT('Web Links'!$C35,2)="In",$C35="Error"),"?????",IF(LEN(G35)=4,"",IF(LEN(G35)=3,"",IF(LEN(G35)=2,"",IF(LEN(G35)=1,"",""))))&amp;'Web Links'!G35)</f>
        <v/>
      </c>
      <c r="R35" s="20" t="str">
        <f>IF(OR(LEFT('Web Links'!$C35,2)="In",$C35="Error"),"???????????????",""&amp;F35)</f>
        <v/>
      </c>
    </row>
    <row r="36" spans="1:18" x14ac:dyDescent="0.2">
      <c r="A36" s="20" t="str">
        <f>IF('GL Template'!B50&lt;&gt;"",'GL Template'!B50,0)</f>
        <v>UMAMH</v>
      </c>
      <c r="B36" s="20" t="str">
        <f>IF('GL Template'!D50&lt;&gt;"",'GL Template'!D50,0)</f>
        <v>169228</v>
      </c>
      <c r="C36" s="20">
        <v>53106</v>
      </c>
      <c r="D36" s="20" t="s">
        <v>386</v>
      </c>
      <c r="E36" s="20" t="s">
        <v>295</v>
      </c>
      <c r="F36" s="20" t="s">
        <v>387</v>
      </c>
      <c r="N36" s="20" t="str">
        <f>IF(OR(LEFT('Web Links'!$C36,2)="In",$C36="Error"),"?????",""&amp;C36)</f>
        <v>53106</v>
      </c>
      <c r="O36" s="20" t="str">
        <f>IF(OR(LEFT('Web Links'!$C36,2)="In",$C36="Error"),"??????????",""&amp;D36)</f>
        <v>A090600036</v>
      </c>
      <c r="P36" s="20" t="str">
        <f>IF(OR(LEFT('Web Links'!$C36,2)="In",$C36="Error"),"???",IF(LEN(E36)=2,"0",IF(LEN(E36)=1,"00","")))&amp;'Web Links'!E36</f>
        <v>B03</v>
      </c>
      <c r="Q36" s="20" t="str">
        <f>IF(OR(LEFT('Web Links'!$C36,2)="In",$C36="Error"),"?????",IF(LEN(G36)=4,"",IF(LEN(G36)=3,"",IF(LEN(G36)=2,"",IF(LEN(G36)=1,"",""))))&amp;'Web Links'!G36)</f>
        <v/>
      </c>
      <c r="R36" s="20" t="str">
        <f>IF(OR(LEFT('Web Links'!$C36,2)="In",$C36="Error"),"???????????????",""&amp;F36)</f>
        <v>S11110000000401</v>
      </c>
    </row>
    <row r="37" spans="1:18" x14ac:dyDescent="0.2">
      <c r="A37" s="20" t="str">
        <f>IF('GL Template'!B51&lt;&gt;"",'GL Template'!B51,0)</f>
        <v>UMAMH</v>
      </c>
      <c r="B37" s="20" t="str">
        <f>IF('GL Template'!D51&lt;&gt;"",'GL Template'!D51,0)</f>
        <v>155226</v>
      </c>
      <c r="C37" s="20">
        <v>51511</v>
      </c>
      <c r="D37" s="20" t="s">
        <v>293</v>
      </c>
      <c r="E37" s="20" t="s">
        <v>290</v>
      </c>
      <c r="N37" s="20" t="str">
        <f>IF(OR(LEFT('Web Links'!$C37,2)="In",$C37="Error"),"?????",""&amp;C37)</f>
        <v>51511</v>
      </c>
      <c r="O37" s="20" t="str">
        <f>IF(OR(LEFT('Web Links'!$C37,2)="In",$C37="Error"),"??????????",""&amp;D37)</f>
        <v>A606363000</v>
      </c>
      <c r="P37" s="20" t="str">
        <f>IF(OR(LEFT('Web Links'!$C37,2)="In",$C37="Error"),"???",IF(LEN(E37)=2,"0",IF(LEN(E37)=1,"00","")))&amp;'Web Links'!E37</f>
        <v>D06</v>
      </c>
      <c r="Q37" s="20" t="str">
        <f>IF(OR(LEFT('Web Links'!$C37,2)="In",$C37="Error"),"?????",IF(LEN(G37)=4,"",IF(LEN(G37)=3,"",IF(LEN(G37)=2,"",IF(LEN(G37)=1,"",""))))&amp;'Web Links'!G37)</f>
        <v/>
      </c>
      <c r="R37" s="20" t="str">
        <f>IF(OR(LEFT('Web Links'!$C37,2)="In",$C37="Error"),"???????????????",""&amp;F37)</f>
        <v/>
      </c>
    </row>
    <row r="38" spans="1:18" x14ac:dyDescent="0.2">
      <c r="A38" s="20" t="str">
        <f>IF('GL Template'!B52&lt;&gt;"",'GL Template'!B52,0)</f>
        <v>UMAMH</v>
      </c>
      <c r="B38" s="20" t="str">
        <f>IF('GL Template'!D52&lt;&gt;"",'GL Template'!D52,0)</f>
        <v>139118</v>
      </c>
      <c r="C38" s="20">
        <v>52132</v>
      </c>
      <c r="D38" s="20" t="s">
        <v>299</v>
      </c>
      <c r="E38" s="20" t="s">
        <v>296</v>
      </c>
      <c r="N38" s="20" t="str">
        <f>IF(OR(LEFT('Web Links'!$C38,2)="In",$C38="Error"),"?????",""&amp;C38)</f>
        <v>52132</v>
      </c>
      <c r="O38" s="20" t="str">
        <f>IF(OR(LEFT('Web Links'!$C38,2)="In",$C38="Error"),"??????????",""&amp;D38)</f>
        <v>A040100065</v>
      </c>
      <c r="P38" s="20" t="str">
        <f>IF(OR(LEFT('Web Links'!$C38,2)="In",$C38="Error"),"???",IF(LEN(E38)=2,"0",IF(LEN(E38)=1,"00","")))&amp;'Web Links'!E38</f>
        <v>A01</v>
      </c>
      <c r="Q38" s="20" t="str">
        <f>IF(OR(LEFT('Web Links'!$C38,2)="In",$C38="Error"),"?????",IF(LEN(G38)=4,"",IF(LEN(G38)=3,"",IF(LEN(G38)=2,"",IF(LEN(G38)=1,"",""))))&amp;'Web Links'!G38)</f>
        <v/>
      </c>
      <c r="R38" s="20" t="str">
        <f>IF(OR(LEFT('Web Links'!$C38,2)="In",$C38="Error"),"???????????????",""&amp;F38)</f>
        <v/>
      </c>
    </row>
    <row r="39" spans="1:18" x14ac:dyDescent="0.2">
      <c r="A39" s="20" t="str">
        <f>IF('GL Template'!B53&lt;&gt;"",'GL Template'!B53,0)</f>
        <v>UMAMH</v>
      </c>
      <c r="B39" s="20" t="str">
        <f>IF('GL Template'!D53&lt;&gt;"",'GL Template'!D53,0)</f>
        <v>155226</v>
      </c>
      <c r="C39" s="20">
        <v>51511</v>
      </c>
      <c r="D39" s="20" t="s">
        <v>293</v>
      </c>
      <c r="E39" s="20" t="s">
        <v>290</v>
      </c>
      <c r="N39" s="20" t="str">
        <f>IF(OR(LEFT('Web Links'!$C39,2)="In",$C39="Error"),"?????",""&amp;C39)</f>
        <v>51511</v>
      </c>
      <c r="O39" s="20" t="str">
        <f>IF(OR(LEFT('Web Links'!$C39,2)="In",$C39="Error"),"??????????",""&amp;D39)</f>
        <v>A606363000</v>
      </c>
      <c r="P39" s="20" t="str">
        <f>IF(OR(LEFT('Web Links'!$C39,2)="In",$C39="Error"),"???",IF(LEN(E39)=2,"0",IF(LEN(E39)=1,"00","")))&amp;'Web Links'!E39</f>
        <v>D06</v>
      </c>
      <c r="Q39" s="20" t="str">
        <f>IF(OR(LEFT('Web Links'!$C39,2)="In",$C39="Error"),"?????",IF(LEN(G39)=4,"",IF(LEN(G39)=3,"",IF(LEN(G39)=2,"",IF(LEN(G39)=1,"",""))))&amp;'Web Links'!G39)</f>
        <v/>
      </c>
      <c r="R39" s="20" t="str">
        <f>IF(OR(LEFT('Web Links'!$C39,2)="In",$C39="Error"),"???????????????",""&amp;F39)</f>
        <v/>
      </c>
    </row>
    <row r="40" spans="1:18" x14ac:dyDescent="0.2">
      <c r="A40" s="20" t="str">
        <f>IF('GL Template'!B54&lt;&gt;"",'GL Template'!B54,0)</f>
        <v>UMAMH</v>
      </c>
      <c r="B40" s="20" t="str">
        <f>IF('GL Template'!D54&lt;&gt;"",'GL Template'!D54,0)</f>
        <v>167446</v>
      </c>
      <c r="C40" s="20">
        <v>53414</v>
      </c>
      <c r="D40" s="20" t="s">
        <v>392</v>
      </c>
      <c r="E40" s="20" t="s">
        <v>295</v>
      </c>
      <c r="F40" s="20" t="s">
        <v>393</v>
      </c>
      <c r="N40" s="20" t="str">
        <f>IF(OR(LEFT('Web Links'!$C40,2)="In",$C40="Error"),"?????",""&amp;C40)</f>
        <v>53414</v>
      </c>
      <c r="O40" s="20" t="str">
        <f>IF(OR(LEFT('Web Links'!$C40,2)="In",$C40="Error"),"??????????",""&amp;D40)</f>
        <v>A041400037</v>
      </c>
      <c r="P40" s="20" t="str">
        <f>IF(OR(LEFT('Web Links'!$C40,2)="In",$C40="Error"),"???",IF(LEN(E40)=2,"0",IF(LEN(E40)=1,"00","")))&amp;'Web Links'!E40</f>
        <v>B03</v>
      </c>
      <c r="Q40" s="20" t="str">
        <f>IF(OR(LEFT('Web Links'!$C40,2)="In",$C40="Error"),"?????",IF(LEN(G40)=4,"",IF(LEN(G40)=3,"",IF(LEN(G40)=2,"",IF(LEN(G40)=1,"",""))))&amp;'Web Links'!G40)</f>
        <v/>
      </c>
      <c r="R40" s="20" t="str">
        <f>IF(OR(LEFT('Web Links'!$C40,2)="In",$C40="Error"),"???????????????",""&amp;F40)</f>
        <v>S19000000000591</v>
      </c>
    </row>
    <row r="41" spans="1:18" x14ac:dyDescent="0.2">
      <c r="A41" s="20" t="str">
        <f>IF('GL Template'!B55&lt;&gt;"",'GL Template'!B55,0)</f>
        <v>UMAMH</v>
      </c>
      <c r="B41" s="20" t="str">
        <f>IF('GL Template'!D55&lt;&gt;"",'GL Template'!D55,0)</f>
        <v>155226</v>
      </c>
      <c r="C41" s="20">
        <v>51511</v>
      </c>
      <c r="D41" s="20" t="s">
        <v>293</v>
      </c>
      <c r="E41" s="20" t="s">
        <v>290</v>
      </c>
      <c r="N41" s="20" t="str">
        <f>IF(OR(LEFT('Web Links'!$C41,2)="In",$C41="Error"),"?????",""&amp;C41)</f>
        <v>51511</v>
      </c>
      <c r="O41" s="20" t="str">
        <f>IF(OR(LEFT('Web Links'!$C41,2)="In",$C41="Error"),"??????????",""&amp;D41)</f>
        <v>A606363000</v>
      </c>
      <c r="P41" s="20" t="str">
        <f>IF(OR(LEFT('Web Links'!$C41,2)="In",$C41="Error"),"???",IF(LEN(E41)=2,"0",IF(LEN(E41)=1,"00","")))&amp;'Web Links'!E41</f>
        <v>D06</v>
      </c>
      <c r="Q41" s="20" t="str">
        <f>IF(OR(LEFT('Web Links'!$C41,2)="In",$C41="Error"),"?????",IF(LEN(G41)=4,"",IF(LEN(G41)=3,"",IF(LEN(G41)=2,"",IF(LEN(G41)=1,"",""))))&amp;'Web Links'!G41)</f>
        <v/>
      </c>
      <c r="R41" s="20" t="str">
        <f>IF(OR(LEFT('Web Links'!$C41,2)="In",$C41="Error"),"???????????????",""&amp;F41)</f>
        <v/>
      </c>
    </row>
    <row r="42" spans="1:18" x14ac:dyDescent="0.2">
      <c r="A42" s="20" t="str">
        <f>IF('GL Template'!B56&lt;&gt;"",'GL Template'!B56,0)</f>
        <v>UMAMH</v>
      </c>
      <c r="B42" s="20" t="str">
        <f>IF('GL Template'!D56&lt;&gt;"",'GL Template'!D56,0)</f>
        <v>164262</v>
      </c>
      <c r="C42" s="20">
        <v>52132</v>
      </c>
      <c r="D42" s="20" t="s">
        <v>361</v>
      </c>
      <c r="E42" s="20" t="s">
        <v>296</v>
      </c>
      <c r="N42" s="20" t="str">
        <f>IF(OR(LEFT('Web Links'!$C42,2)="In",$C42="Error"),"?????",""&amp;C42)</f>
        <v>52132</v>
      </c>
      <c r="O42" s="20" t="str">
        <f>IF(OR(LEFT('Web Links'!$C42,2)="In",$C42="Error"),"??????????",""&amp;D42)</f>
        <v>A606108000</v>
      </c>
      <c r="P42" s="20" t="str">
        <f>IF(OR(LEFT('Web Links'!$C42,2)="In",$C42="Error"),"???",IF(LEN(E42)=2,"0",IF(LEN(E42)=1,"00","")))&amp;'Web Links'!E42</f>
        <v>A01</v>
      </c>
      <c r="Q42" s="20" t="str">
        <f>IF(OR(LEFT('Web Links'!$C42,2)="In",$C42="Error"),"?????",IF(LEN(G42)=4,"",IF(LEN(G42)=3,"",IF(LEN(G42)=2,"",IF(LEN(G42)=1,"",""))))&amp;'Web Links'!G42)</f>
        <v/>
      </c>
      <c r="R42" s="20" t="str">
        <f>IF(OR(LEFT('Web Links'!$C42,2)="In",$C42="Error"),"???????????????",""&amp;F42)</f>
        <v/>
      </c>
    </row>
    <row r="43" spans="1:18" x14ac:dyDescent="0.2">
      <c r="A43" s="20" t="str">
        <f>IF('GL Template'!B57&lt;&gt;"",'GL Template'!B57,0)</f>
        <v>UMAMH</v>
      </c>
      <c r="B43" s="20" t="str">
        <f>IF('GL Template'!D57&lt;&gt;"",'GL Template'!D57,0)</f>
        <v>155226</v>
      </c>
      <c r="C43" s="20">
        <v>51511</v>
      </c>
      <c r="D43" s="20" t="s">
        <v>293</v>
      </c>
      <c r="E43" s="20" t="s">
        <v>290</v>
      </c>
      <c r="N43" s="20" t="str">
        <f>IF(OR(LEFT('Web Links'!$C43,2)="In",$C43="Error"),"?????",""&amp;C43)</f>
        <v>51511</v>
      </c>
      <c r="O43" s="20" t="str">
        <f>IF(OR(LEFT('Web Links'!$C43,2)="In",$C43="Error"),"??????????",""&amp;D43)</f>
        <v>A606363000</v>
      </c>
      <c r="P43" s="20" t="str">
        <f>IF(OR(LEFT('Web Links'!$C43,2)="In",$C43="Error"),"???",IF(LEN(E43)=2,"0",IF(LEN(E43)=1,"00","")))&amp;'Web Links'!E43</f>
        <v>D06</v>
      </c>
      <c r="Q43" s="20" t="str">
        <f>IF(OR(LEFT('Web Links'!$C43,2)="In",$C43="Error"),"?????",IF(LEN(G43)=4,"",IF(LEN(G43)=3,"",IF(LEN(G43)=2,"",IF(LEN(G43)=1,"",""))))&amp;'Web Links'!G43)</f>
        <v/>
      </c>
      <c r="R43" s="20" t="str">
        <f>IF(OR(LEFT('Web Links'!$C43,2)="In",$C43="Error"),"???????????????",""&amp;F43)</f>
        <v/>
      </c>
    </row>
    <row r="44" spans="1:18" x14ac:dyDescent="0.2">
      <c r="A44" s="20" t="str">
        <f>IF('GL Template'!B58&lt;&gt;"",'GL Template'!B58,0)</f>
        <v>UMAMH</v>
      </c>
      <c r="B44" s="20" t="str">
        <f>IF('GL Template'!D58&lt;&gt;"",'GL Template'!D58,0)</f>
        <v>133939</v>
      </c>
      <c r="C44" s="20">
        <v>52132</v>
      </c>
      <c r="D44" s="20" t="s">
        <v>399</v>
      </c>
      <c r="E44" s="20" t="s">
        <v>296</v>
      </c>
      <c r="N44" s="20" t="str">
        <f>IF(OR(LEFT('Web Links'!$C44,2)="In",$C44="Error"),"?????",""&amp;C44)</f>
        <v>52132</v>
      </c>
      <c r="O44" s="20" t="str">
        <f>IF(OR(LEFT('Web Links'!$C44,2)="In",$C44="Error"),"??????????",""&amp;D44)</f>
        <v>A010400032</v>
      </c>
      <c r="P44" s="20" t="str">
        <f>IF(OR(LEFT('Web Links'!$C44,2)="In",$C44="Error"),"???",IF(LEN(E44)=2,"0",IF(LEN(E44)=1,"00","")))&amp;'Web Links'!E44</f>
        <v>A01</v>
      </c>
      <c r="Q44" s="20" t="str">
        <f>IF(OR(LEFT('Web Links'!$C44,2)="In",$C44="Error"),"?????",IF(LEN(G44)=4,"",IF(LEN(G44)=3,"",IF(LEN(G44)=2,"",IF(LEN(G44)=1,"",""))))&amp;'Web Links'!G44)</f>
        <v/>
      </c>
      <c r="R44" s="20" t="str">
        <f>IF(OR(LEFT('Web Links'!$C44,2)="In",$C44="Error"),"???????????????",""&amp;F44)</f>
        <v/>
      </c>
    </row>
    <row r="45" spans="1:18" x14ac:dyDescent="0.2">
      <c r="A45" s="20" t="str">
        <f>IF('GL Template'!B59&lt;&gt;"",'GL Template'!B59,0)</f>
        <v>UMAMH</v>
      </c>
      <c r="B45" s="20" t="str">
        <f>IF('GL Template'!D59&lt;&gt;"",'GL Template'!D59,0)</f>
        <v>155226</v>
      </c>
      <c r="C45" s="20">
        <v>51511</v>
      </c>
      <c r="D45" s="20" t="s">
        <v>293</v>
      </c>
      <c r="E45" s="20" t="s">
        <v>290</v>
      </c>
      <c r="N45" s="20" t="str">
        <f>IF(OR(LEFT('Web Links'!$C45,2)="In",$C45="Error"),"?????",""&amp;C45)</f>
        <v>51511</v>
      </c>
      <c r="O45" s="20" t="str">
        <f>IF(OR(LEFT('Web Links'!$C45,2)="In",$C45="Error"),"??????????",""&amp;D45)</f>
        <v>A606363000</v>
      </c>
      <c r="P45" s="20" t="str">
        <f>IF(OR(LEFT('Web Links'!$C45,2)="In",$C45="Error"),"???",IF(LEN(E45)=2,"0",IF(LEN(E45)=1,"00","")))&amp;'Web Links'!E45</f>
        <v>D06</v>
      </c>
      <c r="Q45" s="20" t="str">
        <f>IF(OR(LEFT('Web Links'!$C45,2)="In",$C45="Error"),"?????",IF(LEN(G45)=4,"",IF(LEN(G45)=3,"",IF(LEN(G45)=2,"",IF(LEN(G45)=1,"",""))))&amp;'Web Links'!G45)</f>
        <v/>
      </c>
      <c r="R45" s="20" t="str">
        <f>IF(OR(LEFT('Web Links'!$C45,2)="In",$C45="Error"),"???????????????",""&amp;F45)</f>
        <v/>
      </c>
    </row>
    <row r="46" spans="1:18" x14ac:dyDescent="0.2">
      <c r="A46" s="20" t="str">
        <f>IF('GL Template'!B60&lt;&gt;"",'GL Template'!B60,0)</f>
        <v>UMAMH</v>
      </c>
      <c r="B46" s="20" t="str">
        <f>IF('GL Template'!D60&lt;&gt;"",'GL Template'!D60,0)</f>
        <v>169078</v>
      </c>
      <c r="C46" s="20">
        <v>53106</v>
      </c>
      <c r="D46" s="20" t="s">
        <v>403</v>
      </c>
      <c r="E46" s="20" t="s">
        <v>295</v>
      </c>
      <c r="F46" s="20" t="s">
        <v>404</v>
      </c>
      <c r="N46" s="20" t="str">
        <f>IF(OR(LEFT('Web Links'!$C46,2)="In",$C46="Error"),"?????",""&amp;C46)</f>
        <v>53106</v>
      </c>
      <c r="O46" s="20" t="str">
        <f>IF(OR(LEFT('Web Links'!$C46,2)="In",$C46="Error"),"??????????",""&amp;D46)</f>
        <v>A200100058</v>
      </c>
      <c r="P46" s="20" t="str">
        <f>IF(OR(LEFT('Web Links'!$C46,2)="In",$C46="Error"),"???",IF(LEN(E46)=2,"0",IF(LEN(E46)=1,"00","")))&amp;'Web Links'!E46</f>
        <v>B03</v>
      </c>
      <c r="Q46" s="20" t="str">
        <f>IF(OR(LEFT('Web Links'!$C46,2)="In",$C46="Error"),"?????",IF(LEN(G46)=4,"",IF(LEN(G46)=3,"",IF(LEN(G46)=2,"",IF(LEN(G46)=1,"",""))))&amp;'Web Links'!G46)</f>
        <v/>
      </c>
      <c r="R46" s="20" t="str">
        <f>IF(OR(LEFT('Web Links'!$C46,2)="In",$C46="Error"),"???????????????",""&amp;F46)</f>
        <v>S11110000000397</v>
      </c>
    </row>
    <row r="47" spans="1:18" x14ac:dyDescent="0.2">
      <c r="A47" s="20" t="str">
        <f>IF('GL Template'!B61&lt;&gt;"",'GL Template'!B61,0)</f>
        <v>UMAMH</v>
      </c>
      <c r="B47" s="20" t="str">
        <f>IF('GL Template'!D61&lt;&gt;"",'GL Template'!D61,0)</f>
        <v>155226</v>
      </c>
      <c r="C47" s="20">
        <v>51511</v>
      </c>
      <c r="D47" s="20" t="s">
        <v>293</v>
      </c>
      <c r="E47" s="20" t="s">
        <v>290</v>
      </c>
      <c r="N47" s="20" t="str">
        <f>IF(OR(LEFT('Web Links'!$C47,2)="In",$C47="Error"),"?????",""&amp;C47)</f>
        <v>51511</v>
      </c>
      <c r="O47" s="20" t="str">
        <f>IF(OR(LEFT('Web Links'!$C47,2)="In",$C47="Error"),"??????????",""&amp;D47)</f>
        <v>A606363000</v>
      </c>
      <c r="P47" s="20" t="str">
        <f>IF(OR(LEFT('Web Links'!$C47,2)="In",$C47="Error"),"???",IF(LEN(E47)=2,"0",IF(LEN(E47)=1,"00","")))&amp;'Web Links'!E47</f>
        <v>D06</v>
      </c>
      <c r="Q47" s="20" t="str">
        <f>IF(OR(LEFT('Web Links'!$C47,2)="In",$C47="Error"),"?????",IF(LEN(G47)=4,"",IF(LEN(G47)=3,"",IF(LEN(G47)=2,"",IF(LEN(G47)=1,"",""))))&amp;'Web Links'!G47)</f>
        <v/>
      </c>
      <c r="R47" s="20" t="str">
        <f>IF(OR(LEFT('Web Links'!$C47,2)="In",$C47="Error"),"???????????????",""&amp;F47)</f>
        <v/>
      </c>
    </row>
    <row r="48" spans="1:18" x14ac:dyDescent="0.2">
      <c r="A48" s="20" t="str">
        <f>IF('GL Template'!B62&lt;&gt;"",'GL Template'!B62,0)</f>
        <v>UMAMH</v>
      </c>
      <c r="B48" s="20" t="str">
        <f>IF('GL Template'!D62&lt;&gt;"",'GL Template'!D62,0)</f>
        <v>158171</v>
      </c>
      <c r="C48" s="20">
        <v>53106</v>
      </c>
      <c r="D48" s="20" t="s">
        <v>304</v>
      </c>
      <c r="E48" s="20" t="s">
        <v>295</v>
      </c>
      <c r="F48" s="20" t="s">
        <v>305</v>
      </c>
      <c r="N48" s="20" t="str">
        <f>IF(OR(LEFT('Web Links'!$C48,2)="In",$C48="Error"),"?????",""&amp;C48)</f>
        <v>53106</v>
      </c>
      <c r="O48" s="20" t="str">
        <f>IF(OR(LEFT('Web Links'!$C48,2)="In",$C48="Error"),"??????????",""&amp;D48)</f>
        <v>A606234064</v>
      </c>
      <c r="P48" s="20" t="str">
        <f>IF(OR(LEFT('Web Links'!$C48,2)="In",$C48="Error"),"???",IF(LEN(E48)=2,"0",IF(LEN(E48)=1,"00","")))&amp;'Web Links'!E48</f>
        <v>B03</v>
      </c>
      <c r="Q48" s="20" t="str">
        <f>IF(OR(LEFT('Web Links'!$C48,2)="In",$C48="Error"),"?????",IF(LEN(G48)=4,"",IF(LEN(G48)=3,"",IF(LEN(G48)=2,"",IF(LEN(G48)=1,"",""))))&amp;'Web Links'!G48)</f>
        <v/>
      </c>
      <c r="R48" s="20" t="str">
        <f>IF(OR(LEFT('Web Links'!$C48,2)="In",$C48="Error"),"???????????????",""&amp;F48)</f>
        <v>S11110000000251</v>
      </c>
    </row>
    <row r="49" spans="1:18" x14ac:dyDescent="0.2">
      <c r="A49" s="20" t="str">
        <f>IF('GL Template'!B63&lt;&gt;"",'GL Template'!B63,0)</f>
        <v>UMAMH</v>
      </c>
      <c r="B49" s="20" t="str">
        <f>IF('GL Template'!D63&lt;&gt;"",'GL Template'!D63,0)</f>
        <v>155226</v>
      </c>
      <c r="C49" s="20">
        <v>51511</v>
      </c>
      <c r="D49" s="20" t="s">
        <v>293</v>
      </c>
      <c r="E49" s="20" t="s">
        <v>290</v>
      </c>
      <c r="N49" s="20" t="str">
        <f>IF(OR(LEFT('Web Links'!$C49,2)="In",$C49="Error"),"?????",""&amp;C49)</f>
        <v>51511</v>
      </c>
      <c r="O49" s="20" t="str">
        <f>IF(OR(LEFT('Web Links'!$C49,2)="In",$C49="Error"),"??????????",""&amp;D49)</f>
        <v>A606363000</v>
      </c>
      <c r="P49" s="20" t="str">
        <f>IF(OR(LEFT('Web Links'!$C49,2)="In",$C49="Error"),"???",IF(LEN(E49)=2,"0",IF(LEN(E49)=1,"00","")))&amp;'Web Links'!E49</f>
        <v>D06</v>
      </c>
      <c r="Q49" s="20" t="str">
        <f>IF(OR(LEFT('Web Links'!$C49,2)="In",$C49="Error"),"?????",IF(LEN(G49)=4,"",IF(LEN(G49)=3,"",IF(LEN(G49)=2,"",IF(LEN(G49)=1,"",""))))&amp;'Web Links'!G49)</f>
        <v/>
      </c>
      <c r="R49" s="20" t="str">
        <f>IF(OR(LEFT('Web Links'!$C49,2)="In",$C49="Error"),"???????????????",""&amp;F49)</f>
        <v/>
      </c>
    </row>
    <row r="50" spans="1:18" x14ac:dyDescent="0.2">
      <c r="A50" s="20" t="str">
        <f>IF('GL Template'!B64&lt;&gt;"",'GL Template'!B64,0)</f>
        <v>UMAMH</v>
      </c>
      <c r="B50" s="20" t="str">
        <f>IF('GL Template'!D64&lt;&gt;"",'GL Template'!D64,0)</f>
        <v>163808</v>
      </c>
      <c r="C50" s="20">
        <v>53106</v>
      </c>
      <c r="D50" s="20" t="s">
        <v>410</v>
      </c>
      <c r="E50" s="20" t="s">
        <v>295</v>
      </c>
      <c r="F50" s="20" t="s">
        <v>411</v>
      </c>
      <c r="N50" s="20" t="str">
        <f>IF(OR(LEFT('Web Links'!$C50,2)="In",$C50="Error"),"?????",""&amp;C50)</f>
        <v>53106</v>
      </c>
      <c r="O50" s="20" t="str">
        <f>IF(OR(LEFT('Web Links'!$C50,2)="In",$C50="Error"),"??????????",""&amp;D50)</f>
        <v>A606333031</v>
      </c>
      <c r="P50" s="20" t="str">
        <f>IF(OR(LEFT('Web Links'!$C50,2)="In",$C50="Error"),"???",IF(LEN(E50)=2,"0",IF(LEN(E50)=1,"00","")))&amp;'Web Links'!E50</f>
        <v>B03</v>
      </c>
      <c r="Q50" s="20" t="str">
        <f>IF(OR(LEFT('Web Links'!$C50,2)="In",$C50="Error"),"?????",IF(LEN(G50)=4,"",IF(LEN(G50)=3,"",IF(LEN(G50)=2,"",IF(LEN(G50)=1,"",""))))&amp;'Web Links'!G50)</f>
        <v/>
      </c>
      <c r="R50" s="20" t="str">
        <f>IF(OR(LEFT('Web Links'!$C50,2)="In",$C50="Error"),"???????????????",""&amp;F50)</f>
        <v>S11900000000063</v>
      </c>
    </row>
    <row r="51" spans="1:18" x14ac:dyDescent="0.2">
      <c r="A51" s="20" t="str">
        <f>IF('GL Template'!B65&lt;&gt;"",'GL Template'!B65,0)</f>
        <v>UMAMH</v>
      </c>
      <c r="B51" s="20" t="str">
        <f>IF('GL Template'!D65&lt;&gt;"",'GL Template'!D65,0)</f>
        <v>155226</v>
      </c>
      <c r="C51" s="20">
        <v>51511</v>
      </c>
      <c r="D51" s="20" t="s">
        <v>293</v>
      </c>
      <c r="E51" s="20" t="s">
        <v>290</v>
      </c>
      <c r="N51" s="20" t="str">
        <f>IF(OR(LEFT('Web Links'!$C51,2)="In",$C51="Error"),"?????",""&amp;C51)</f>
        <v>51511</v>
      </c>
      <c r="O51" s="20" t="str">
        <f>IF(OR(LEFT('Web Links'!$C51,2)="In",$C51="Error"),"??????????",""&amp;D51)</f>
        <v>A606363000</v>
      </c>
      <c r="P51" s="20" t="str">
        <f>IF(OR(LEFT('Web Links'!$C51,2)="In",$C51="Error"),"???",IF(LEN(E51)=2,"0",IF(LEN(E51)=1,"00","")))&amp;'Web Links'!E51</f>
        <v>D06</v>
      </c>
      <c r="Q51" s="20" t="str">
        <f>IF(OR(LEFT('Web Links'!$C51,2)="In",$C51="Error"),"?????",IF(LEN(G51)=4,"",IF(LEN(G51)=3,"",IF(LEN(G51)=2,"",IF(LEN(G51)=1,"",""))))&amp;'Web Links'!G51)</f>
        <v/>
      </c>
      <c r="R51" s="20" t="str">
        <f>IF(OR(LEFT('Web Links'!$C51,2)="In",$C51="Error"),"???????????????",""&amp;F51)</f>
        <v/>
      </c>
    </row>
    <row r="52" spans="1:18" x14ac:dyDescent="0.2">
      <c r="A52" s="20" t="str">
        <f>IF('GL Template'!B66&lt;&gt;"",'GL Template'!B66,0)</f>
        <v>UMAMH</v>
      </c>
      <c r="B52" s="20" t="str">
        <f>IF('GL Template'!D66&lt;&gt;"",'GL Template'!D66,0)</f>
        <v>167462</v>
      </c>
      <c r="C52" s="20">
        <v>53105</v>
      </c>
      <c r="D52" s="20" t="s">
        <v>415</v>
      </c>
      <c r="E52" s="20" t="s">
        <v>295</v>
      </c>
      <c r="F52" s="20" t="s">
        <v>416</v>
      </c>
      <c r="N52" s="20" t="str">
        <f>IF(OR(LEFT('Web Links'!$C52,2)="In",$C52="Error"),"?????",""&amp;C52)</f>
        <v>53105</v>
      </c>
      <c r="O52" s="20" t="str">
        <f>IF(OR(LEFT('Web Links'!$C52,2)="In",$C52="Error"),"??????????",""&amp;D52)</f>
        <v>A090700031</v>
      </c>
      <c r="P52" s="20" t="str">
        <f>IF(OR(LEFT('Web Links'!$C52,2)="In",$C52="Error"),"???",IF(LEN(E52)=2,"0",IF(LEN(E52)=1,"00","")))&amp;'Web Links'!E52</f>
        <v>B03</v>
      </c>
      <c r="Q52" s="20" t="str">
        <f>IF(OR(LEFT('Web Links'!$C52,2)="In",$C52="Error"),"?????",IF(LEN(G52)=4,"",IF(LEN(G52)=3,"",IF(LEN(G52)=2,"",IF(LEN(G52)=1,"",""))))&amp;'Web Links'!G52)</f>
        <v/>
      </c>
      <c r="R52" s="20" t="str">
        <f>IF(OR(LEFT('Web Links'!$C52,2)="In",$C52="Error"),"???????????????",""&amp;F52)</f>
        <v>S12100000001433</v>
      </c>
    </row>
    <row r="53" spans="1:18" x14ac:dyDescent="0.2">
      <c r="A53" s="20" t="str">
        <f>IF('GL Template'!B67&lt;&gt;"",'GL Template'!B67,0)</f>
        <v>UMAMH</v>
      </c>
      <c r="B53" s="20" t="str">
        <f>IF('GL Template'!D67&lt;&gt;"",'GL Template'!D67,0)</f>
        <v>155226</v>
      </c>
      <c r="C53" s="20">
        <v>51511</v>
      </c>
      <c r="D53" s="20" t="s">
        <v>293</v>
      </c>
      <c r="E53" s="20" t="s">
        <v>290</v>
      </c>
      <c r="N53" s="20" t="str">
        <f>IF(OR(LEFT('Web Links'!$C53,2)="In",$C53="Error"),"?????",""&amp;C53)</f>
        <v>51511</v>
      </c>
      <c r="O53" s="20" t="str">
        <f>IF(OR(LEFT('Web Links'!$C53,2)="In",$C53="Error"),"??????????",""&amp;D53)</f>
        <v>A606363000</v>
      </c>
      <c r="P53" s="20" t="str">
        <f>IF(OR(LEFT('Web Links'!$C53,2)="In",$C53="Error"),"???",IF(LEN(E53)=2,"0",IF(LEN(E53)=1,"00","")))&amp;'Web Links'!E53</f>
        <v>D06</v>
      </c>
      <c r="Q53" s="20" t="str">
        <f>IF(OR(LEFT('Web Links'!$C53,2)="In",$C53="Error"),"?????",IF(LEN(G53)=4,"",IF(LEN(G53)=3,"",IF(LEN(G53)=2,"",IF(LEN(G53)=1,"",""))))&amp;'Web Links'!G53)</f>
        <v/>
      </c>
      <c r="R53" s="20" t="str">
        <f>IF(OR(LEFT('Web Links'!$C53,2)="In",$C53="Error"),"???????????????",""&amp;F53)</f>
        <v/>
      </c>
    </row>
    <row r="54" spans="1:18" x14ac:dyDescent="0.2">
      <c r="A54" s="20" t="str">
        <f>IF('GL Template'!B68&lt;&gt;"",'GL Template'!B68,0)</f>
        <v>UMAMH</v>
      </c>
      <c r="B54" s="20" t="str">
        <f>IF('GL Template'!D68&lt;&gt;"",'GL Template'!D68,0)</f>
        <v>131539</v>
      </c>
      <c r="C54" s="20">
        <v>53800</v>
      </c>
      <c r="D54" s="20" t="s">
        <v>418</v>
      </c>
      <c r="E54" s="20" t="s">
        <v>296</v>
      </c>
      <c r="F54" s="20" t="s">
        <v>419</v>
      </c>
      <c r="N54" s="20" t="str">
        <f>IF(OR(LEFT('Web Links'!$C54,2)="In",$C54="Error"),"?????",""&amp;C54)</f>
        <v>53800</v>
      </c>
      <c r="O54" s="20" t="str">
        <f>IF(OR(LEFT('Web Links'!$C54,2)="In",$C54="Error"),"??????????",""&amp;D54)</f>
        <v>A170580105</v>
      </c>
      <c r="P54" s="20" t="str">
        <f>IF(OR(LEFT('Web Links'!$C54,2)="In",$C54="Error"),"???",IF(LEN(E54)=2,"0",IF(LEN(E54)=1,"00","")))&amp;'Web Links'!E54</f>
        <v>A01</v>
      </c>
      <c r="Q54" s="20" t="str">
        <f>IF(OR(LEFT('Web Links'!$C54,2)="In",$C54="Error"),"?????",IF(LEN(G54)=4,"",IF(LEN(G54)=3,"",IF(LEN(G54)=2,"",IF(LEN(G54)=1,"",""))))&amp;'Web Links'!G54)</f>
        <v/>
      </c>
      <c r="R54" s="20" t="str">
        <f>IF(OR(LEFT('Web Links'!$C54,2)="In",$C54="Error"),"???????????????",""&amp;F54)</f>
        <v>U1035494000000A</v>
      </c>
    </row>
    <row r="55" spans="1:18" x14ac:dyDescent="0.2">
      <c r="A55" s="20" t="str">
        <f>IF('GL Template'!B69&lt;&gt;"",'GL Template'!B69,0)</f>
        <v>UMAMH</v>
      </c>
      <c r="B55" s="20" t="str">
        <f>IF('GL Template'!D69&lt;&gt;"",'GL Template'!D69,0)</f>
        <v>155226</v>
      </c>
      <c r="C55" s="20">
        <v>51511</v>
      </c>
      <c r="D55" s="20" t="s">
        <v>293</v>
      </c>
      <c r="E55" s="20" t="s">
        <v>290</v>
      </c>
      <c r="N55" s="20" t="str">
        <f>IF(OR(LEFT('Web Links'!$C55,2)="In",$C55="Error"),"?????",""&amp;C55)</f>
        <v>51511</v>
      </c>
      <c r="O55" s="20" t="str">
        <f>IF(OR(LEFT('Web Links'!$C55,2)="In",$C55="Error"),"??????????",""&amp;D55)</f>
        <v>A606363000</v>
      </c>
      <c r="P55" s="20" t="str">
        <f>IF(OR(LEFT('Web Links'!$C55,2)="In",$C55="Error"),"???",IF(LEN(E55)=2,"0",IF(LEN(E55)=1,"00","")))&amp;'Web Links'!E55</f>
        <v>D06</v>
      </c>
      <c r="Q55" s="20" t="str">
        <f>IF(OR(LEFT('Web Links'!$C55,2)="In",$C55="Error"),"?????",IF(LEN(G55)=4,"",IF(LEN(G55)=3,"",IF(LEN(G55)=2,"",IF(LEN(G55)=1,"",""))))&amp;'Web Links'!G55)</f>
        <v/>
      </c>
      <c r="R55" s="20" t="str">
        <f>IF(OR(LEFT('Web Links'!$C55,2)="In",$C55="Error"),"???????????????",""&amp;F55)</f>
        <v/>
      </c>
    </row>
    <row r="56" spans="1:18" x14ac:dyDescent="0.2">
      <c r="A56" s="20" t="str">
        <f>IF('GL Template'!B70&lt;&gt;"",'GL Template'!B70,0)</f>
        <v>UMAMH</v>
      </c>
      <c r="B56" s="20" t="str">
        <f>IF('GL Template'!D70&lt;&gt;"",'GL Template'!D70,0)</f>
        <v>169184</v>
      </c>
      <c r="C56" s="20">
        <v>51345</v>
      </c>
      <c r="D56" s="20" t="s">
        <v>423</v>
      </c>
      <c r="E56" s="20" t="s">
        <v>296</v>
      </c>
      <c r="G56" s="20" t="s">
        <v>302</v>
      </c>
      <c r="N56" s="20" t="str">
        <f>IF(OR(LEFT('Web Links'!$C56,2)="In",$C56="Error"),"?????",""&amp;C56)</f>
        <v>51345</v>
      </c>
      <c r="O56" s="20" t="str">
        <f>IF(OR(LEFT('Web Links'!$C56,2)="In",$C56="Error"),"??????????",""&amp;D56)</f>
        <v>A606101018</v>
      </c>
      <c r="P56" s="20" t="str">
        <f>IF(OR(LEFT('Web Links'!$C56,2)="In",$C56="Error"),"???",IF(LEN(E56)=2,"0",IF(LEN(E56)=1,"00","")))&amp;'Web Links'!E56</f>
        <v>A01</v>
      </c>
      <c r="Q56" s="20" t="str">
        <f>IF(OR(LEFT('Web Links'!$C56,2)="In",$C56="Error"),"?????",IF(LEN(G56)=4,"",IF(LEN(G56)=3,"",IF(LEN(G56)=2,"",IF(LEN(G56)=1,"",""))))&amp;'Web Links'!G56)</f>
        <v>E0122</v>
      </c>
      <c r="R56" s="20" t="str">
        <f>IF(OR(LEFT('Web Links'!$C56,2)="In",$C56="Error"),"???????????????",""&amp;F56)</f>
        <v/>
      </c>
    </row>
    <row r="57" spans="1:18" x14ac:dyDescent="0.2">
      <c r="A57" s="20" t="str">
        <f>IF('GL Template'!B71&lt;&gt;"",'GL Template'!B71,0)</f>
        <v>UMAMH</v>
      </c>
      <c r="B57" s="20" t="str">
        <f>IF('GL Template'!D71&lt;&gt;"",'GL Template'!D71,0)</f>
        <v>155226</v>
      </c>
      <c r="C57" s="20">
        <v>51511</v>
      </c>
      <c r="D57" s="20" t="s">
        <v>293</v>
      </c>
      <c r="E57" s="20" t="s">
        <v>290</v>
      </c>
      <c r="N57" s="20" t="str">
        <f>IF(OR(LEFT('Web Links'!$C57,2)="In",$C57="Error"),"?????",""&amp;C57)</f>
        <v>51511</v>
      </c>
      <c r="O57" s="20" t="str">
        <f>IF(OR(LEFT('Web Links'!$C57,2)="In",$C57="Error"),"??????????",""&amp;D57)</f>
        <v>A606363000</v>
      </c>
      <c r="P57" s="20" t="str">
        <f>IF(OR(LEFT('Web Links'!$C57,2)="In",$C57="Error"),"???",IF(LEN(E57)=2,"0",IF(LEN(E57)=1,"00","")))&amp;'Web Links'!E57</f>
        <v>D06</v>
      </c>
      <c r="Q57" s="20" t="str">
        <f>IF(OR(LEFT('Web Links'!$C57,2)="In",$C57="Error"),"?????",IF(LEN(G57)=4,"",IF(LEN(G57)=3,"",IF(LEN(G57)=2,"",IF(LEN(G57)=1,"",""))))&amp;'Web Links'!G57)</f>
        <v/>
      </c>
      <c r="R57" s="20" t="str">
        <f>IF(OR(LEFT('Web Links'!$C57,2)="In",$C57="Error"),"???????????????",""&amp;F57)</f>
        <v/>
      </c>
    </row>
    <row r="58" spans="1:18" x14ac:dyDescent="0.2">
      <c r="A58" s="20" t="str">
        <f>IF('GL Template'!B72&lt;&gt;"",'GL Template'!B72,0)</f>
        <v>UMAMH</v>
      </c>
      <c r="B58" s="20" t="str">
        <f>IF('GL Template'!D72&lt;&gt;"",'GL Template'!D72,0)</f>
        <v>161973</v>
      </c>
      <c r="C58" s="20">
        <v>53105</v>
      </c>
      <c r="D58" s="20" t="s">
        <v>428</v>
      </c>
      <c r="E58" s="20" t="s">
        <v>295</v>
      </c>
      <c r="F58" s="20" t="s">
        <v>429</v>
      </c>
      <c r="N58" s="20" t="str">
        <f>IF(OR(LEFT('Web Links'!$C58,2)="In",$C58="Error"),"?????",""&amp;C58)</f>
        <v>53105</v>
      </c>
      <c r="O58" s="20" t="str">
        <f>IF(OR(LEFT('Web Links'!$C58,2)="In",$C58="Error"),"??????????",""&amp;D58)</f>
        <v>A091000070</v>
      </c>
      <c r="P58" s="20" t="str">
        <f>IF(OR(LEFT('Web Links'!$C58,2)="In",$C58="Error"),"???",IF(LEN(E58)=2,"0",IF(LEN(E58)=1,"00","")))&amp;'Web Links'!E58</f>
        <v>B03</v>
      </c>
      <c r="Q58" s="20" t="str">
        <f>IF(OR(LEFT('Web Links'!$C58,2)="In",$C58="Error"),"?????",IF(LEN(G58)=4,"",IF(LEN(G58)=3,"",IF(LEN(G58)=2,"",IF(LEN(G58)=1,"",""))))&amp;'Web Links'!G58)</f>
        <v/>
      </c>
      <c r="R58" s="20" t="str">
        <f>IF(OR(LEFT('Web Links'!$C58,2)="In",$C58="Error"),"???????????????",""&amp;F58)</f>
        <v>S12100000001262</v>
      </c>
    </row>
    <row r="59" spans="1:18" x14ac:dyDescent="0.2">
      <c r="A59" s="20" t="str">
        <f>IF('GL Template'!B73&lt;&gt;"",'GL Template'!B73,0)</f>
        <v>UMAMH</v>
      </c>
      <c r="B59" s="20" t="str">
        <f>IF('GL Template'!D73&lt;&gt;"",'GL Template'!D73,0)</f>
        <v>155226</v>
      </c>
      <c r="C59" s="20">
        <v>51511</v>
      </c>
      <c r="D59" s="20" t="s">
        <v>293</v>
      </c>
      <c r="E59" s="20" t="s">
        <v>290</v>
      </c>
      <c r="N59" s="20" t="str">
        <f>IF(OR(LEFT('Web Links'!$C59,2)="In",$C59="Error"),"?????",""&amp;C59)</f>
        <v>51511</v>
      </c>
      <c r="O59" s="20" t="str">
        <f>IF(OR(LEFT('Web Links'!$C59,2)="In",$C59="Error"),"??????????",""&amp;D59)</f>
        <v>A606363000</v>
      </c>
      <c r="P59" s="20" t="str">
        <f>IF(OR(LEFT('Web Links'!$C59,2)="In",$C59="Error"),"???",IF(LEN(E59)=2,"0",IF(LEN(E59)=1,"00","")))&amp;'Web Links'!E59</f>
        <v>D06</v>
      </c>
      <c r="Q59" s="20" t="str">
        <f>IF(OR(LEFT('Web Links'!$C59,2)="In",$C59="Error"),"?????",IF(LEN(G59)=4,"",IF(LEN(G59)=3,"",IF(LEN(G59)=2,"",IF(LEN(G59)=1,"",""))))&amp;'Web Links'!G59)</f>
        <v/>
      </c>
      <c r="R59" s="20" t="str">
        <f>IF(OR(LEFT('Web Links'!$C59,2)="In",$C59="Error"),"???????????????",""&amp;F59)</f>
        <v/>
      </c>
    </row>
    <row r="60" spans="1:18" x14ac:dyDescent="0.2">
      <c r="A60" s="20" t="str">
        <f>IF('GL Template'!B74&lt;&gt;"",'GL Template'!B74,0)</f>
        <v>UMAMH</v>
      </c>
      <c r="B60" s="20" t="str">
        <f>IF('GL Template'!D74&lt;&gt;"",'GL Template'!D74,0)</f>
        <v>158543</v>
      </c>
      <c r="C60" s="20">
        <v>53106</v>
      </c>
      <c r="D60" s="20" t="s">
        <v>308</v>
      </c>
      <c r="E60" s="20" t="s">
        <v>295</v>
      </c>
      <c r="F60" s="20" t="s">
        <v>309</v>
      </c>
      <c r="N60" s="20" t="str">
        <f>IF(OR(LEFT('Web Links'!$C60,2)="In",$C60="Error"),"?????",""&amp;C60)</f>
        <v>53106</v>
      </c>
      <c r="O60" s="20" t="str">
        <f>IF(OR(LEFT('Web Links'!$C60,2)="In",$C60="Error"),"??????????",""&amp;D60)</f>
        <v>A121400015</v>
      </c>
      <c r="P60" s="20" t="str">
        <f>IF(OR(LEFT('Web Links'!$C60,2)="In",$C60="Error"),"???",IF(LEN(E60)=2,"0",IF(LEN(E60)=1,"00","")))&amp;'Web Links'!E60</f>
        <v>B03</v>
      </c>
      <c r="Q60" s="20" t="str">
        <f>IF(OR(LEFT('Web Links'!$C60,2)="In",$C60="Error"),"?????",IF(LEN(G60)=4,"",IF(LEN(G60)=3,"",IF(LEN(G60)=2,"",IF(LEN(G60)=1,"",""))))&amp;'Web Links'!G60)</f>
        <v/>
      </c>
      <c r="R60" s="20" t="str">
        <f>IF(OR(LEFT('Web Links'!$C60,2)="In",$C60="Error"),"???????????????",""&amp;F60)</f>
        <v>S11110000000257</v>
      </c>
    </row>
    <row r="61" spans="1:18" x14ac:dyDescent="0.2">
      <c r="A61" s="20" t="str">
        <f>IF('GL Template'!B75&lt;&gt;"",'GL Template'!B75,0)</f>
        <v>UMAMH</v>
      </c>
      <c r="B61" s="20" t="str">
        <f>IF('GL Template'!D75&lt;&gt;"",'GL Template'!D75,0)</f>
        <v>155226</v>
      </c>
      <c r="C61" s="20">
        <v>51511</v>
      </c>
      <c r="D61" s="20" t="s">
        <v>293</v>
      </c>
      <c r="E61" s="20" t="s">
        <v>290</v>
      </c>
      <c r="N61" s="20" t="str">
        <f>IF(OR(LEFT('Web Links'!$C61,2)="In",$C61="Error"),"?????",""&amp;C61)</f>
        <v>51511</v>
      </c>
      <c r="O61" s="20" t="str">
        <f>IF(OR(LEFT('Web Links'!$C61,2)="In",$C61="Error"),"??????????",""&amp;D61)</f>
        <v>A606363000</v>
      </c>
      <c r="P61" s="20" t="str">
        <f>IF(OR(LEFT('Web Links'!$C61,2)="In",$C61="Error"),"???",IF(LEN(E61)=2,"0",IF(LEN(E61)=1,"00","")))&amp;'Web Links'!E61</f>
        <v>D06</v>
      </c>
      <c r="Q61" s="20" t="str">
        <f>IF(OR(LEFT('Web Links'!$C61,2)="In",$C61="Error"),"?????",IF(LEN(G61)=4,"",IF(LEN(G61)=3,"",IF(LEN(G61)=2,"",IF(LEN(G61)=1,"",""))))&amp;'Web Links'!G61)</f>
        <v/>
      </c>
      <c r="R61" s="20" t="str">
        <f>IF(OR(LEFT('Web Links'!$C61,2)="In",$C61="Error"),"???????????????",""&amp;F61)</f>
        <v/>
      </c>
    </row>
    <row r="62" spans="1:18" x14ac:dyDescent="0.2">
      <c r="A62" s="20" t="str">
        <f>IF('GL Template'!B76&lt;&gt;"",'GL Template'!B76,0)</f>
        <v>UMAMH</v>
      </c>
      <c r="B62" s="20" t="str">
        <f>IF('GL Template'!D76&lt;&gt;"",'GL Template'!D76,0)</f>
        <v>162227</v>
      </c>
      <c r="C62" s="20">
        <v>53105</v>
      </c>
      <c r="D62" s="20" t="s">
        <v>435</v>
      </c>
      <c r="E62" s="20" t="s">
        <v>295</v>
      </c>
      <c r="F62" s="20" t="s">
        <v>436</v>
      </c>
      <c r="N62" s="20" t="str">
        <f>IF(OR(LEFT('Web Links'!$C62,2)="In",$C62="Error"),"?????",""&amp;C62)</f>
        <v>53105</v>
      </c>
      <c r="O62" s="20" t="str">
        <f>IF(OR(LEFT('Web Links'!$C62,2)="In",$C62="Error"),"??????????",""&amp;D62)</f>
        <v>A606200002</v>
      </c>
      <c r="P62" s="20" t="str">
        <f>IF(OR(LEFT('Web Links'!$C62,2)="In",$C62="Error"),"???",IF(LEN(E62)=2,"0",IF(LEN(E62)=1,"00","")))&amp;'Web Links'!E62</f>
        <v>B03</v>
      </c>
      <c r="Q62" s="20" t="str">
        <f>IF(OR(LEFT('Web Links'!$C62,2)="In",$C62="Error"),"?????",IF(LEN(G62)=4,"",IF(LEN(G62)=3,"",IF(LEN(G62)=2,"",IF(LEN(G62)=1,"",""))))&amp;'Web Links'!G62)</f>
        <v/>
      </c>
      <c r="R62" s="20" t="str">
        <f>IF(OR(LEFT('Web Links'!$C62,2)="In",$C62="Error"),"???????????????",""&amp;F62)</f>
        <v>S12100000001289</v>
      </c>
    </row>
    <row r="63" spans="1:18" x14ac:dyDescent="0.2">
      <c r="A63" s="20" t="str">
        <f>IF('GL Template'!B77&lt;&gt;"",'GL Template'!B77,0)</f>
        <v>UMAMH</v>
      </c>
      <c r="B63" s="20" t="str">
        <f>IF('GL Template'!D77&lt;&gt;"",'GL Template'!D77,0)</f>
        <v>155226</v>
      </c>
      <c r="C63" s="20">
        <v>51511</v>
      </c>
      <c r="D63" s="20" t="s">
        <v>293</v>
      </c>
      <c r="E63" s="20" t="s">
        <v>290</v>
      </c>
      <c r="N63" s="20" t="str">
        <f>IF(OR(LEFT('Web Links'!$C63,2)="In",$C63="Error"),"?????",""&amp;C63)</f>
        <v>51511</v>
      </c>
      <c r="O63" s="20" t="str">
        <f>IF(OR(LEFT('Web Links'!$C63,2)="In",$C63="Error"),"??????????",""&amp;D63)</f>
        <v>A606363000</v>
      </c>
      <c r="P63" s="20" t="str">
        <f>IF(OR(LEFT('Web Links'!$C63,2)="In",$C63="Error"),"???",IF(LEN(E63)=2,"0",IF(LEN(E63)=1,"00","")))&amp;'Web Links'!E63</f>
        <v>D06</v>
      </c>
      <c r="Q63" s="20" t="str">
        <f>IF(OR(LEFT('Web Links'!$C63,2)="In",$C63="Error"),"?????",IF(LEN(G63)=4,"",IF(LEN(G63)=3,"",IF(LEN(G63)=2,"",IF(LEN(G63)=1,"",""))))&amp;'Web Links'!G63)</f>
        <v/>
      </c>
      <c r="R63" s="20" t="str">
        <f>IF(OR(LEFT('Web Links'!$C63,2)="In",$C63="Error"),"???????????????",""&amp;F63)</f>
        <v/>
      </c>
    </row>
    <row r="64" spans="1:18" x14ac:dyDescent="0.2">
      <c r="A64" s="20" t="str">
        <f>IF('GL Template'!B78&lt;&gt;"",'GL Template'!B78,0)</f>
        <v>UMAMH</v>
      </c>
      <c r="B64" s="20" t="str">
        <f>IF('GL Template'!D78&lt;&gt;"",'GL Template'!D78,0)</f>
        <v>168965</v>
      </c>
      <c r="C64" s="20">
        <v>53106</v>
      </c>
      <c r="D64" s="20" t="s">
        <v>441</v>
      </c>
      <c r="E64" s="20" t="s">
        <v>295</v>
      </c>
      <c r="F64" s="20" t="s">
        <v>442</v>
      </c>
      <c r="N64" s="20" t="str">
        <f>IF(OR(LEFT('Web Links'!$C64,2)="In",$C64="Error"),"?????",""&amp;C64)</f>
        <v>53106</v>
      </c>
      <c r="O64" s="20" t="str">
        <f>IF(OR(LEFT('Web Links'!$C64,2)="In",$C64="Error"),"??????????",""&amp;D64)</f>
        <v>A190500040</v>
      </c>
      <c r="P64" s="20" t="str">
        <f>IF(OR(LEFT('Web Links'!$C64,2)="In",$C64="Error"),"???",IF(LEN(E64)=2,"0",IF(LEN(E64)=1,"00","")))&amp;'Web Links'!E64</f>
        <v>B03</v>
      </c>
      <c r="Q64" s="20" t="str">
        <f>IF(OR(LEFT('Web Links'!$C64,2)="In",$C64="Error"),"?????",IF(LEN(G64)=4,"",IF(LEN(G64)=3,"",IF(LEN(G64)=2,"",IF(LEN(G64)=1,"",""))))&amp;'Web Links'!G64)</f>
        <v/>
      </c>
      <c r="R64" s="20" t="str">
        <f>IF(OR(LEFT('Web Links'!$C64,2)="In",$C64="Error"),"???????????????",""&amp;F64)</f>
        <v>S11110000000396</v>
      </c>
    </row>
    <row r="65" spans="1:18" x14ac:dyDescent="0.2">
      <c r="A65" s="20" t="str">
        <f>IF('GL Template'!B79&lt;&gt;"",'GL Template'!B79,0)</f>
        <v>UMAMH</v>
      </c>
      <c r="B65" s="20" t="str">
        <f>IF('GL Template'!D79&lt;&gt;"",'GL Template'!D79,0)</f>
        <v>155226</v>
      </c>
      <c r="C65" s="20">
        <v>51511</v>
      </c>
      <c r="D65" s="20" t="s">
        <v>293</v>
      </c>
      <c r="E65" s="20" t="s">
        <v>290</v>
      </c>
      <c r="N65" s="20" t="str">
        <f>IF(OR(LEFT('Web Links'!$C65,2)="In",$C65="Error"),"?????",""&amp;C65)</f>
        <v>51511</v>
      </c>
      <c r="O65" s="20" t="str">
        <f>IF(OR(LEFT('Web Links'!$C65,2)="In",$C65="Error"),"??????????",""&amp;D65)</f>
        <v>A606363000</v>
      </c>
      <c r="P65" s="20" t="str">
        <f>IF(OR(LEFT('Web Links'!$C65,2)="In",$C65="Error"),"???",IF(LEN(E65)=2,"0",IF(LEN(E65)=1,"00","")))&amp;'Web Links'!E65</f>
        <v>D06</v>
      </c>
      <c r="Q65" s="20" t="str">
        <f>IF(OR(LEFT('Web Links'!$C65,2)="In",$C65="Error"),"?????",IF(LEN(G65)=4,"",IF(LEN(G65)=3,"",IF(LEN(G65)=2,"",IF(LEN(G65)=1,"",""))))&amp;'Web Links'!G65)</f>
        <v/>
      </c>
      <c r="R65" s="20" t="str">
        <f>IF(OR(LEFT('Web Links'!$C65,2)="In",$C65="Error"),"???????????????",""&amp;F65)</f>
        <v/>
      </c>
    </row>
    <row r="66" spans="1:18" x14ac:dyDescent="0.2">
      <c r="A66" s="20" t="str">
        <f>IF('GL Template'!B80&lt;&gt;"",'GL Template'!B80,0)</f>
        <v>UMAMH</v>
      </c>
      <c r="B66" s="20" t="str">
        <f>IF('GL Template'!D80&lt;&gt;"",'GL Template'!D80,0)</f>
        <v>168965</v>
      </c>
      <c r="C66" s="20">
        <v>53106</v>
      </c>
      <c r="D66" s="20" t="s">
        <v>441</v>
      </c>
      <c r="E66" s="20" t="s">
        <v>295</v>
      </c>
      <c r="F66" s="20" t="s">
        <v>442</v>
      </c>
      <c r="N66" s="20" t="str">
        <f>IF(OR(LEFT('Web Links'!$C66,2)="In",$C66="Error"),"?????",""&amp;C66)</f>
        <v>53106</v>
      </c>
      <c r="O66" s="20" t="str">
        <f>IF(OR(LEFT('Web Links'!$C66,2)="In",$C66="Error"),"??????????",""&amp;D66)</f>
        <v>A190500040</v>
      </c>
      <c r="P66" s="20" t="str">
        <f>IF(OR(LEFT('Web Links'!$C66,2)="In",$C66="Error"),"???",IF(LEN(E66)=2,"0",IF(LEN(E66)=1,"00","")))&amp;'Web Links'!E66</f>
        <v>B03</v>
      </c>
      <c r="Q66" s="20" t="str">
        <f>IF(OR(LEFT('Web Links'!$C66,2)="In",$C66="Error"),"?????",IF(LEN(G66)=4,"",IF(LEN(G66)=3,"",IF(LEN(G66)=2,"",IF(LEN(G66)=1,"",""))))&amp;'Web Links'!G66)</f>
        <v/>
      </c>
      <c r="R66" s="20" t="str">
        <f>IF(OR(LEFT('Web Links'!$C66,2)="In",$C66="Error"),"???????????????",""&amp;F66)</f>
        <v>S11110000000396</v>
      </c>
    </row>
    <row r="67" spans="1:18" x14ac:dyDescent="0.2">
      <c r="A67" s="20" t="str">
        <f>IF('GL Template'!B81&lt;&gt;"",'GL Template'!B81,0)</f>
        <v>UMAMH</v>
      </c>
      <c r="B67" s="20" t="str">
        <f>IF('GL Template'!D81&lt;&gt;"",'GL Template'!D81,0)</f>
        <v>155226</v>
      </c>
      <c r="C67" s="20">
        <v>51511</v>
      </c>
      <c r="D67" s="20" t="s">
        <v>293</v>
      </c>
      <c r="E67" s="20" t="s">
        <v>290</v>
      </c>
      <c r="N67" s="20" t="str">
        <f>IF(OR(LEFT('Web Links'!$C67,2)="In",$C67="Error"),"?????",""&amp;C67)</f>
        <v>51511</v>
      </c>
      <c r="O67" s="20" t="str">
        <f>IF(OR(LEFT('Web Links'!$C67,2)="In",$C67="Error"),"??????????",""&amp;D67)</f>
        <v>A606363000</v>
      </c>
      <c r="P67" s="20" t="str">
        <f>IF(OR(LEFT('Web Links'!$C67,2)="In",$C67="Error"),"???",IF(LEN(E67)=2,"0",IF(LEN(E67)=1,"00","")))&amp;'Web Links'!E67</f>
        <v>D06</v>
      </c>
      <c r="Q67" s="20" t="str">
        <f>IF(OR(LEFT('Web Links'!$C67,2)="In",$C67="Error"),"?????",IF(LEN(G67)=4,"",IF(LEN(G67)=3,"",IF(LEN(G67)=2,"",IF(LEN(G67)=1,"",""))))&amp;'Web Links'!G67)</f>
        <v/>
      </c>
      <c r="R67" s="20" t="str">
        <f>IF(OR(LEFT('Web Links'!$C67,2)="In",$C67="Error"),"???????????????",""&amp;F67)</f>
        <v/>
      </c>
    </row>
    <row r="68" spans="1:18" x14ac:dyDescent="0.2">
      <c r="A68" s="20" t="str">
        <f>IF('GL Template'!B82&lt;&gt;"",'GL Template'!B82,0)</f>
        <v>UMAMH</v>
      </c>
      <c r="B68" s="20" t="str">
        <f>IF('GL Template'!D82&lt;&gt;"",'GL Template'!D82,0)</f>
        <v>150125</v>
      </c>
      <c r="C68" s="20">
        <v>53106</v>
      </c>
      <c r="D68" s="20" t="s">
        <v>445</v>
      </c>
      <c r="E68" s="20" t="s">
        <v>295</v>
      </c>
      <c r="F68" s="20" t="s">
        <v>446</v>
      </c>
      <c r="N68" s="20" t="str">
        <f>IF(OR(LEFT('Web Links'!$C68,2)="In",$C68="Error"),"?????",""&amp;C68)</f>
        <v>53106</v>
      </c>
      <c r="O68" s="20" t="str">
        <f>IF(OR(LEFT('Web Links'!$C68,2)="In",$C68="Error"),"??????????",""&amp;D68)</f>
        <v>A010400020</v>
      </c>
      <c r="P68" s="20" t="str">
        <f>IF(OR(LEFT('Web Links'!$C68,2)="In",$C68="Error"),"???",IF(LEN(E68)=2,"0",IF(LEN(E68)=1,"00","")))&amp;'Web Links'!E68</f>
        <v>B03</v>
      </c>
      <c r="Q68" s="20" t="str">
        <f>IF(OR(LEFT('Web Links'!$C68,2)="In",$C68="Error"),"?????",IF(LEN(G68)=4,"",IF(LEN(G68)=3,"",IF(LEN(G68)=2,"",IF(LEN(G68)=1,"",""))))&amp;'Web Links'!G68)</f>
        <v/>
      </c>
      <c r="R68" s="20" t="str">
        <f>IF(OR(LEFT('Web Links'!$C68,2)="In",$C68="Error"),"???????????????",""&amp;F68)</f>
        <v>S11110000000203</v>
      </c>
    </row>
    <row r="69" spans="1:18" x14ac:dyDescent="0.2">
      <c r="A69" s="20" t="str">
        <f>IF('GL Template'!B83&lt;&gt;"",'GL Template'!B83,0)</f>
        <v>UMAMH</v>
      </c>
      <c r="B69" s="20" t="str">
        <f>IF('GL Template'!D83&lt;&gt;"",'GL Template'!D83,0)</f>
        <v>155226</v>
      </c>
      <c r="C69" s="20">
        <v>51511</v>
      </c>
      <c r="D69" s="20" t="s">
        <v>293</v>
      </c>
      <c r="E69" s="20" t="s">
        <v>290</v>
      </c>
      <c r="N69" s="20" t="str">
        <f>IF(OR(LEFT('Web Links'!$C69,2)="In",$C69="Error"),"?????",""&amp;C69)</f>
        <v>51511</v>
      </c>
      <c r="O69" s="20" t="str">
        <f>IF(OR(LEFT('Web Links'!$C69,2)="In",$C69="Error"),"??????????",""&amp;D69)</f>
        <v>A606363000</v>
      </c>
      <c r="P69" s="20" t="str">
        <f>IF(OR(LEFT('Web Links'!$C69,2)="In",$C69="Error"),"???",IF(LEN(E69)=2,"0",IF(LEN(E69)=1,"00","")))&amp;'Web Links'!E69</f>
        <v>D06</v>
      </c>
      <c r="Q69" s="20" t="str">
        <f>IF(OR(LEFT('Web Links'!$C69,2)="In",$C69="Error"),"?????",IF(LEN(G69)=4,"",IF(LEN(G69)=3,"",IF(LEN(G69)=2,"",IF(LEN(G69)=1,"",""))))&amp;'Web Links'!G69)</f>
        <v/>
      </c>
      <c r="R69" s="20" t="str">
        <f>IF(OR(LEFT('Web Links'!$C69,2)="In",$C69="Error"),"???????????????",""&amp;F69)</f>
        <v/>
      </c>
    </row>
    <row r="70" spans="1:18" x14ac:dyDescent="0.2">
      <c r="A70" s="20" t="str">
        <f>IF('GL Template'!B84&lt;&gt;"",'GL Template'!B84,0)</f>
        <v>UMAMH</v>
      </c>
      <c r="B70" s="20" t="str">
        <f>IF('GL Template'!D84&lt;&gt;"",'GL Template'!D84,0)</f>
        <v>158850</v>
      </c>
      <c r="C70" s="20">
        <v>51344</v>
      </c>
      <c r="D70" s="20" t="s">
        <v>450</v>
      </c>
      <c r="E70" s="20" t="s">
        <v>296</v>
      </c>
      <c r="G70" s="20" t="s">
        <v>451</v>
      </c>
      <c r="N70" s="20" t="str">
        <f>IF(OR(LEFT('Web Links'!$C70,2)="In",$C70="Error"),"?????",""&amp;C70)</f>
        <v>51344</v>
      </c>
      <c r="O70" s="20" t="str">
        <f>IF(OR(LEFT('Web Links'!$C70,2)="In",$C70="Error"),"??????????",""&amp;D70)</f>
        <v>A190500054</v>
      </c>
      <c r="P70" s="20" t="str">
        <f>IF(OR(LEFT('Web Links'!$C70,2)="In",$C70="Error"),"???",IF(LEN(E70)=2,"0",IF(LEN(E70)=1,"00","")))&amp;'Web Links'!E70</f>
        <v>A01</v>
      </c>
      <c r="Q70" s="20" t="str">
        <f>IF(OR(LEFT('Web Links'!$C70,2)="In",$C70="Error"),"?????",IF(LEN(G70)=4,"",IF(LEN(G70)=3,"",IF(LEN(G70)=2,"",IF(LEN(G70)=1,"",""))))&amp;'Web Links'!G70)</f>
        <v>E0819</v>
      </c>
      <c r="R70" s="20" t="str">
        <f>IF(OR(LEFT('Web Links'!$C70,2)="In",$C70="Error"),"???????????????",""&amp;F70)</f>
        <v/>
      </c>
    </row>
    <row r="71" spans="1:18" x14ac:dyDescent="0.2">
      <c r="A71" s="20" t="str">
        <f>IF('GL Template'!B85&lt;&gt;"",'GL Template'!B85,0)</f>
        <v>UMAMH</v>
      </c>
      <c r="B71" s="20" t="str">
        <f>IF('GL Template'!D85&lt;&gt;"",'GL Template'!D85,0)</f>
        <v>155226</v>
      </c>
      <c r="C71" s="20">
        <v>51511</v>
      </c>
      <c r="D71" s="20" t="s">
        <v>293</v>
      </c>
      <c r="E71" s="20" t="s">
        <v>290</v>
      </c>
      <c r="N71" s="20" t="str">
        <f>IF(OR(LEFT('Web Links'!$C71,2)="In",$C71="Error"),"?????",""&amp;C71)</f>
        <v>51511</v>
      </c>
      <c r="O71" s="20" t="str">
        <f>IF(OR(LEFT('Web Links'!$C71,2)="In",$C71="Error"),"??????????",""&amp;D71)</f>
        <v>A606363000</v>
      </c>
      <c r="P71" s="20" t="str">
        <f>IF(OR(LEFT('Web Links'!$C71,2)="In",$C71="Error"),"???",IF(LEN(E71)=2,"0",IF(LEN(E71)=1,"00","")))&amp;'Web Links'!E71</f>
        <v>D06</v>
      </c>
      <c r="Q71" s="20" t="str">
        <f>IF(OR(LEFT('Web Links'!$C71,2)="In",$C71="Error"),"?????",IF(LEN(G71)=4,"",IF(LEN(G71)=3,"",IF(LEN(G71)=2,"",IF(LEN(G71)=1,"",""))))&amp;'Web Links'!G71)</f>
        <v/>
      </c>
      <c r="R71" s="20" t="str">
        <f>IF(OR(LEFT('Web Links'!$C71,2)="In",$C71="Error"),"???????????????",""&amp;F71)</f>
        <v/>
      </c>
    </row>
    <row r="72" spans="1:18" x14ac:dyDescent="0.2">
      <c r="A72" s="20" t="str">
        <f>IF('GL Template'!B86&lt;&gt;"",'GL Template'!B86,0)</f>
        <v>UMAMH</v>
      </c>
      <c r="B72" s="20" t="str">
        <f>IF('GL Template'!D86&lt;&gt;"",'GL Template'!D86,0)</f>
        <v>150035</v>
      </c>
      <c r="C72" s="20">
        <v>52132</v>
      </c>
      <c r="D72" s="20" t="s">
        <v>455</v>
      </c>
      <c r="E72" s="20" t="s">
        <v>296</v>
      </c>
      <c r="N72" s="20" t="str">
        <f>IF(OR(LEFT('Web Links'!$C72,2)="In",$C72="Error"),"?????",""&amp;C72)</f>
        <v>52132</v>
      </c>
      <c r="O72" s="20" t="str">
        <f>IF(OR(LEFT('Web Links'!$C72,2)="In",$C72="Error"),"??????????",""&amp;D72)</f>
        <v>A606300000</v>
      </c>
      <c r="P72" s="20" t="str">
        <f>IF(OR(LEFT('Web Links'!$C72,2)="In",$C72="Error"),"???",IF(LEN(E72)=2,"0",IF(LEN(E72)=1,"00","")))&amp;'Web Links'!E72</f>
        <v>A01</v>
      </c>
      <c r="Q72" s="20" t="str">
        <f>IF(OR(LEFT('Web Links'!$C72,2)="In",$C72="Error"),"?????",IF(LEN(G72)=4,"",IF(LEN(G72)=3,"",IF(LEN(G72)=2,"",IF(LEN(G72)=1,"",""))))&amp;'Web Links'!G72)</f>
        <v/>
      </c>
      <c r="R72" s="20" t="str">
        <f>IF(OR(LEFT('Web Links'!$C72,2)="In",$C72="Error"),"???????????????",""&amp;F72)</f>
        <v/>
      </c>
    </row>
    <row r="73" spans="1:18" x14ac:dyDescent="0.2">
      <c r="A73" s="20" t="str">
        <f>IF('GL Template'!B87&lt;&gt;"",'GL Template'!B87,0)</f>
        <v>UMAMH</v>
      </c>
      <c r="B73" s="20" t="str">
        <f>IF('GL Template'!D87&lt;&gt;"",'GL Template'!D87,0)</f>
        <v>155226</v>
      </c>
      <c r="C73" s="20">
        <v>51511</v>
      </c>
      <c r="D73" s="20" t="s">
        <v>293</v>
      </c>
      <c r="E73" s="20" t="s">
        <v>290</v>
      </c>
      <c r="N73" s="20" t="str">
        <f>IF(OR(LEFT('Web Links'!$C73,2)="In",$C73="Error"),"?????",""&amp;C73)</f>
        <v>51511</v>
      </c>
      <c r="O73" s="20" t="str">
        <f>IF(OR(LEFT('Web Links'!$C73,2)="In",$C73="Error"),"??????????",""&amp;D73)</f>
        <v>A606363000</v>
      </c>
      <c r="P73" s="20" t="str">
        <f>IF(OR(LEFT('Web Links'!$C73,2)="In",$C73="Error"),"???",IF(LEN(E73)=2,"0",IF(LEN(E73)=1,"00","")))&amp;'Web Links'!E73</f>
        <v>D06</v>
      </c>
      <c r="Q73" s="20" t="str">
        <f>IF(OR(LEFT('Web Links'!$C73,2)="In",$C73="Error"),"?????",IF(LEN(G73)=4,"",IF(LEN(G73)=3,"",IF(LEN(G73)=2,"",IF(LEN(G73)=1,"",""))))&amp;'Web Links'!G73)</f>
        <v/>
      </c>
      <c r="R73" s="20" t="str">
        <f>IF(OR(LEFT('Web Links'!$C73,2)="In",$C73="Error"),"???????????????",""&amp;F73)</f>
        <v/>
      </c>
    </row>
    <row r="74" spans="1:18" x14ac:dyDescent="0.2">
      <c r="A74" s="20" t="str">
        <f>IF('GL Template'!B88&lt;&gt;"",'GL Template'!B88,0)</f>
        <v>UMAMH</v>
      </c>
      <c r="B74" s="20" t="str">
        <f>IF('GL Template'!D88&lt;&gt;"",'GL Template'!D88,0)</f>
        <v>164467</v>
      </c>
      <c r="C74" s="20">
        <v>53416</v>
      </c>
      <c r="D74" s="20" t="s">
        <v>450</v>
      </c>
      <c r="E74" s="20" t="s">
        <v>295</v>
      </c>
      <c r="F74" s="20" t="s">
        <v>457</v>
      </c>
      <c r="N74" s="20" t="str">
        <f>IF(OR(LEFT('Web Links'!$C74,2)="In",$C74="Error"),"?????",""&amp;C74)</f>
        <v>53416</v>
      </c>
      <c r="O74" s="20" t="str">
        <f>IF(OR(LEFT('Web Links'!$C74,2)="In",$C74="Error"),"??????????",""&amp;D74)</f>
        <v>A190500054</v>
      </c>
      <c r="P74" s="20" t="str">
        <f>IF(OR(LEFT('Web Links'!$C74,2)="In",$C74="Error"),"???",IF(LEN(E74)=2,"0",IF(LEN(E74)=1,"00","")))&amp;'Web Links'!E74</f>
        <v>B03</v>
      </c>
      <c r="Q74" s="20" t="str">
        <f>IF(OR(LEFT('Web Links'!$C74,2)="In",$C74="Error"),"?????",IF(LEN(G74)=4,"",IF(LEN(G74)=3,"",IF(LEN(G74)=2,"",IF(LEN(G74)=1,"",""))))&amp;'Web Links'!G74)</f>
        <v/>
      </c>
      <c r="R74" s="20" t="str">
        <f>IF(OR(LEFT('Web Links'!$C74,2)="In",$C74="Error"),"???????????????",""&amp;F74)</f>
        <v>S19000000000575</v>
      </c>
    </row>
    <row r="75" spans="1:18" x14ac:dyDescent="0.2">
      <c r="A75" s="20" t="str">
        <f>IF('GL Template'!B89&lt;&gt;"",'GL Template'!B89,0)</f>
        <v>UMAMH</v>
      </c>
      <c r="B75" s="20" t="str">
        <f>IF('GL Template'!D89&lt;&gt;"",'GL Template'!D89,0)</f>
        <v>155226</v>
      </c>
      <c r="C75" s="20">
        <v>51511</v>
      </c>
      <c r="D75" s="20" t="s">
        <v>293</v>
      </c>
      <c r="E75" s="20" t="s">
        <v>290</v>
      </c>
      <c r="N75" s="20" t="str">
        <f>IF(OR(LEFT('Web Links'!$C75,2)="In",$C75="Error"),"?????",""&amp;C75)</f>
        <v>51511</v>
      </c>
      <c r="O75" s="20" t="str">
        <f>IF(OR(LEFT('Web Links'!$C75,2)="In",$C75="Error"),"??????????",""&amp;D75)</f>
        <v>A606363000</v>
      </c>
      <c r="P75" s="20" t="str">
        <f>IF(OR(LEFT('Web Links'!$C75,2)="In",$C75="Error"),"???",IF(LEN(E75)=2,"0",IF(LEN(E75)=1,"00","")))&amp;'Web Links'!E75</f>
        <v>D06</v>
      </c>
      <c r="Q75" s="20" t="str">
        <f>IF(OR(LEFT('Web Links'!$C75,2)="In",$C75="Error"),"?????",IF(LEN(G75)=4,"",IF(LEN(G75)=3,"",IF(LEN(G75)=2,"",IF(LEN(G75)=1,"",""))))&amp;'Web Links'!G75)</f>
        <v/>
      </c>
      <c r="R75" s="20" t="str">
        <f>IF(OR(LEFT('Web Links'!$C75,2)="In",$C75="Error"),"???????????????",""&amp;F75)</f>
        <v/>
      </c>
    </row>
    <row r="76" spans="1:18" x14ac:dyDescent="0.2">
      <c r="A76" s="20">
        <f>IF('GL Template'!B90&lt;&gt;"",'GL Template'!B90,0)</f>
        <v>0</v>
      </c>
      <c r="B76" s="20">
        <f>IF('GL Template'!D90&lt;&gt;"",'GL Template'!D90,0)</f>
        <v>0</v>
      </c>
      <c r="C76" s="20" t="s">
        <v>95</v>
      </c>
      <c r="N76" s="20" t="str">
        <f>IF(OR(LEFT('Web Links'!$C76,2)="In",$C76="Error"),"?????",""&amp;C76)</f>
        <v>?????</v>
      </c>
      <c r="O76" s="20" t="str">
        <f>IF(OR(LEFT('Web Links'!$C76,2)="In",$C76="Error"),"??????????",""&amp;D76)</f>
        <v>??????????</v>
      </c>
      <c r="P76" s="20" t="str">
        <f>IF(OR(LEFT('Web Links'!$C76,2)="In",$C76="Error"),"???",IF(LEN(E76)=2,"0",IF(LEN(E76)=1,"00","")))&amp;'Web Links'!E76</f>
        <v>???</v>
      </c>
      <c r="Q76" s="20" t="str">
        <f>IF(OR(LEFT('Web Links'!$C76,2)="In",$C76="Error"),"?????",IF(LEN(G76)=4,"",IF(LEN(G76)=3,"",IF(LEN(G76)=2,"",IF(LEN(G76)=1,"",""))))&amp;'Web Links'!G76)</f>
        <v>?????</v>
      </c>
      <c r="R76" s="20" t="str">
        <f>IF(OR(LEFT('Web Links'!$C76,2)="In",$C76="Error"),"???????????????",""&amp;F76)</f>
        <v>???????????????</v>
      </c>
    </row>
    <row r="77" spans="1:18" x14ac:dyDescent="0.2">
      <c r="A77" s="20">
        <f>IF('GL Template'!B91&lt;&gt;"",'GL Template'!B91,0)</f>
        <v>0</v>
      </c>
      <c r="B77" s="20">
        <f>IF('GL Template'!D91&lt;&gt;"",'GL Template'!D91,0)</f>
        <v>0</v>
      </c>
      <c r="C77" s="20" t="s">
        <v>95</v>
      </c>
      <c r="N77" s="20" t="str">
        <f>IF(OR(LEFT('Web Links'!$C77,2)="In",$C77="Error"),"?????",""&amp;C77)</f>
        <v>?????</v>
      </c>
      <c r="O77" s="20" t="str">
        <f>IF(OR(LEFT('Web Links'!$C77,2)="In",$C77="Error"),"??????????",""&amp;D77)</f>
        <v>??????????</v>
      </c>
      <c r="P77" s="20" t="str">
        <f>IF(OR(LEFT('Web Links'!$C77,2)="In",$C77="Error"),"???",IF(LEN(E77)=2,"0",IF(LEN(E77)=1,"00","")))&amp;'Web Links'!E77</f>
        <v>???</v>
      </c>
      <c r="Q77" s="20" t="str">
        <f>IF(OR(LEFT('Web Links'!$C77,2)="In",$C77="Error"),"?????",IF(LEN(G77)=4,"",IF(LEN(G77)=3,"",IF(LEN(G77)=2,"",IF(LEN(G77)=1,"",""))))&amp;'Web Links'!G77)</f>
        <v>?????</v>
      </c>
      <c r="R77" s="20" t="str">
        <f>IF(OR(LEFT('Web Links'!$C77,2)="In",$C77="Error"),"???????????????",""&amp;F77)</f>
        <v>???????????????</v>
      </c>
    </row>
    <row r="78" spans="1:18" x14ac:dyDescent="0.2">
      <c r="A78" s="20">
        <f>IF('GL Template'!B92&lt;&gt;"",'GL Template'!B92,0)</f>
        <v>0</v>
      </c>
      <c r="B78" s="20">
        <f>IF('GL Template'!D92&lt;&gt;"",'GL Template'!D92,0)</f>
        <v>0</v>
      </c>
      <c r="C78" s="20" t="s">
        <v>95</v>
      </c>
      <c r="N78" s="20" t="str">
        <f>IF(OR(LEFT('Web Links'!$C78,2)="In",$C78="Error"),"?????",""&amp;C78)</f>
        <v>?????</v>
      </c>
      <c r="O78" s="20" t="str">
        <f>IF(OR(LEFT('Web Links'!$C78,2)="In",$C78="Error"),"??????????",""&amp;D78)</f>
        <v>??????????</v>
      </c>
      <c r="P78" s="20" t="str">
        <f>IF(OR(LEFT('Web Links'!$C78,2)="In",$C78="Error"),"???",IF(LEN(E78)=2,"0",IF(LEN(E78)=1,"00","")))&amp;'Web Links'!E78</f>
        <v>???</v>
      </c>
      <c r="Q78" s="20" t="str">
        <f>IF(OR(LEFT('Web Links'!$C78,2)="In",$C78="Error"),"?????",IF(LEN(G78)=4,"",IF(LEN(G78)=3,"",IF(LEN(G78)=2,"",IF(LEN(G78)=1,"",""))))&amp;'Web Links'!G78)</f>
        <v>?????</v>
      </c>
      <c r="R78" s="20" t="str">
        <f>IF(OR(LEFT('Web Links'!$C78,2)="In",$C78="Error"),"???????????????",""&amp;F78)</f>
        <v>???????????????</v>
      </c>
    </row>
    <row r="79" spans="1:18" x14ac:dyDescent="0.2">
      <c r="A79" s="20">
        <f>IF('GL Template'!B93&lt;&gt;"",'GL Template'!B93,0)</f>
        <v>0</v>
      </c>
      <c r="B79" s="20">
        <f>IF('GL Template'!D93&lt;&gt;"",'GL Template'!D93,0)</f>
        <v>0</v>
      </c>
      <c r="C79" s="20" t="s">
        <v>95</v>
      </c>
      <c r="N79" s="20" t="str">
        <f>IF(OR(LEFT('Web Links'!$C79,2)="In",$C79="Error"),"?????",""&amp;C79)</f>
        <v>?????</v>
      </c>
      <c r="O79" s="20" t="str">
        <f>IF(OR(LEFT('Web Links'!$C79,2)="In",$C79="Error"),"??????????",""&amp;D79)</f>
        <v>??????????</v>
      </c>
      <c r="P79" s="20" t="str">
        <f>IF(OR(LEFT('Web Links'!$C79,2)="In",$C79="Error"),"???",IF(LEN(E79)=2,"0",IF(LEN(E79)=1,"00","")))&amp;'Web Links'!E79</f>
        <v>???</v>
      </c>
      <c r="Q79" s="20" t="str">
        <f>IF(OR(LEFT('Web Links'!$C79,2)="In",$C79="Error"),"?????",IF(LEN(G79)=4,"",IF(LEN(G79)=3,"",IF(LEN(G79)=2,"",IF(LEN(G79)=1,"",""))))&amp;'Web Links'!G79)</f>
        <v>?????</v>
      </c>
      <c r="R79" s="20" t="str">
        <f>IF(OR(LEFT('Web Links'!$C79,2)="In",$C79="Error"),"???????????????",""&amp;F79)</f>
        <v>???????????????</v>
      </c>
    </row>
    <row r="80" spans="1:18" x14ac:dyDescent="0.2">
      <c r="A80" s="20">
        <f>IF('GL Template'!B94&lt;&gt;"",'GL Template'!B94,0)</f>
        <v>0</v>
      </c>
      <c r="B80" s="20">
        <f>IF('GL Template'!D94&lt;&gt;"",'GL Template'!D94,0)</f>
        <v>0</v>
      </c>
      <c r="C80" s="20" t="s">
        <v>95</v>
      </c>
      <c r="N80" s="20" t="str">
        <f>IF(OR(LEFT('Web Links'!$C80,2)="In",$C80="Error"),"?????",""&amp;C80)</f>
        <v>?????</v>
      </c>
      <c r="O80" s="20" t="str">
        <f>IF(OR(LEFT('Web Links'!$C80,2)="In",$C80="Error"),"??????????",""&amp;D80)</f>
        <v>??????????</v>
      </c>
      <c r="P80" s="20" t="str">
        <f>IF(OR(LEFT('Web Links'!$C80,2)="In",$C80="Error"),"???",IF(LEN(E80)=2,"0",IF(LEN(E80)=1,"00","")))&amp;'Web Links'!E80</f>
        <v>???</v>
      </c>
      <c r="Q80" s="20" t="str">
        <f>IF(OR(LEFT('Web Links'!$C80,2)="In",$C80="Error"),"?????",IF(LEN(G80)=4,"",IF(LEN(G80)=3,"",IF(LEN(G80)=2,"",IF(LEN(G80)=1,"",""))))&amp;'Web Links'!G80)</f>
        <v>?????</v>
      </c>
      <c r="R80" s="20" t="str">
        <f>IF(OR(LEFT('Web Links'!$C80,2)="In",$C80="Error"),"???????????????",""&amp;F80)</f>
        <v>???????????????</v>
      </c>
    </row>
    <row r="81" spans="1:18" x14ac:dyDescent="0.2">
      <c r="A81" s="20">
        <f>IF('GL Template'!B95&lt;&gt;"",'GL Template'!B95,0)</f>
        <v>0</v>
      </c>
      <c r="B81" s="20">
        <f>IF('GL Template'!D95&lt;&gt;"",'GL Template'!D95,0)</f>
        <v>0</v>
      </c>
      <c r="C81" s="20" t="s">
        <v>95</v>
      </c>
      <c r="N81" s="20" t="str">
        <f>IF(OR(LEFT('Web Links'!$C81,2)="In",$C81="Error"),"?????",""&amp;C81)</f>
        <v>?????</v>
      </c>
      <c r="O81" s="20" t="str">
        <f>IF(OR(LEFT('Web Links'!$C81,2)="In",$C81="Error"),"??????????",""&amp;D81)</f>
        <v>??????????</v>
      </c>
      <c r="P81" s="20" t="str">
        <f>IF(OR(LEFT('Web Links'!$C81,2)="In",$C81="Error"),"???",IF(LEN(E81)=2,"0",IF(LEN(E81)=1,"00","")))&amp;'Web Links'!E81</f>
        <v>???</v>
      </c>
      <c r="Q81" s="20" t="str">
        <f>IF(OR(LEFT('Web Links'!$C81,2)="In",$C81="Error"),"?????",IF(LEN(G81)=4,"",IF(LEN(G81)=3,"",IF(LEN(G81)=2,"",IF(LEN(G81)=1,"",""))))&amp;'Web Links'!G81)</f>
        <v>?????</v>
      </c>
      <c r="R81" s="20" t="str">
        <f>IF(OR(LEFT('Web Links'!$C81,2)="In",$C81="Error"),"???????????????",""&amp;F81)</f>
        <v>???????????????</v>
      </c>
    </row>
    <row r="82" spans="1:18" x14ac:dyDescent="0.2">
      <c r="A82" s="20">
        <f>IF('GL Template'!B96&lt;&gt;"",'GL Template'!B96,0)</f>
        <v>0</v>
      </c>
      <c r="B82" s="20">
        <f>IF('GL Template'!D96&lt;&gt;"",'GL Template'!D96,0)</f>
        <v>0</v>
      </c>
      <c r="C82" s="20" t="s">
        <v>95</v>
      </c>
      <c r="N82" s="20" t="str">
        <f>IF(OR(LEFT('Web Links'!$C82,2)="In",$C82="Error"),"?????",""&amp;C82)</f>
        <v>?????</v>
      </c>
      <c r="O82" s="20" t="str">
        <f>IF(OR(LEFT('Web Links'!$C82,2)="In",$C82="Error"),"??????????",""&amp;D82)</f>
        <v>??????????</v>
      </c>
      <c r="P82" s="20" t="str">
        <f>IF(OR(LEFT('Web Links'!$C82,2)="In",$C82="Error"),"???",IF(LEN(E82)=2,"0",IF(LEN(E82)=1,"00","")))&amp;'Web Links'!E82</f>
        <v>???</v>
      </c>
      <c r="Q82" s="20" t="str">
        <f>IF(OR(LEFT('Web Links'!$C82,2)="In",$C82="Error"),"?????",IF(LEN(G82)=4,"",IF(LEN(G82)=3,"",IF(LEN(G82)=2,"",IF(LEN(G82)=1,"",""))))&amp;'Web Links'!G82)</f>
        <v>?????</v>
      </c>
      <c r="R82" s="20" t="str">
        <f>IF(OR(LEFT('Web Links'!$C82,2)="In",$C82="Error"),"???????????????",""&amp;F82)</f>
        <v>???????????????</v>
      </c>
    </row>
    <row r="83" spans="1:18" x14ac:dyDescent="0.2">
      <c r="A83" s="20">
        <f>IF('GL Template'!B97&lt;&gt;"",'GL Template'!B97,0)</f>
        <v>0</v>
      </c>
      <c r="B83" s="20">
        <f>IF('GL Template'!D97&lt;&gt;"",'GL Template'!D97,0)</f>
        <v>0</v>
      </c>
      <c r="C83" s="20" t="s">
        <v>95</v>
      </c>
      <c r="N83" s="20" t="str">
        <f>IF(OR(LEFT('Web Links'!$C83,2)="In",$C83="Error"),"?????",""&amp;C83)</f>
        <v>?????</v>
      </c>
      <c r="O83" s="20" t="str">
        <f>IF(OR(LEFT('Web Links'!$C83,2)="In",$C83="Error"),"??????????",""&amp;D83)</f>
        <v>??????????</v>
      </c>
      <c r="P83" s="20" t="str">
        <f>IF(OR(LEFT('Web Links'!$C83,2)="In",$C83="Error"),"???",IF(LEN(E83)=2,"0",IF(LEN(E83)=1,"00","")))&amp;'Web Links'!E83</f>
        <v>???</v>
      </c>
      <c r="Q83" s="20" t="str">
        <f>IF(OR(LEFT('Web Links'!$C83,2)="In",$C83="Error"),"?????",IF(LEN(G83)=4,"",IF(LEN(G83)=3,"",IF(LEN(G83)=2,"",IF(LEN(G83)=1,"",""))))&amp;'Web Links'!G83)</f>
        <v>?????</v>
      </c>
      <c r="R83" s="20" t="str">
        <f>IF(OR(LEFT('Web Links'!$C83,2)="In",$C83="Error"),"???????????????",""&amp;F83)</f>
        <v>???????????????</v>
      </c>
    </row>
    <row r="84" spans="1:18" x14ac:dyDescent="0.2">
      <c r="A84" s="20">
        <f>IF('GL Template'!B98&lt;&gt;"",'GL Template'!B98,0)</f>
        <v>0</v>
      </c>
      <c r="B84" s="20">
        <f>IF('GL Template'!D98&lt;&gt;"",'GL Template'!D98,0)</f>
        <v>0</v>
      </c>
      <c r="C84" s="20" t="s">
        <v>95</v>
      </c>
      <c r="N84" s="20" t="str">
        <f>IF(OR(LEFT('Web Links'!$C84,2)="In",$C84="Error"),"?????",""&amp;C84)</f>
        <v>?????</v>
      </c>
      <c r="O84" s="20" t="str">
        <f>IF(OR(LEFT('Web Links'!$C84,2)="In",$C84="Error"),"??????????",""&amp;D84)</f>
        <v>??????????</v>
      </c>
      <c r="P84" s="20" t="str">
        <f>IF(OR(LEFT('Web Links'!$C84,2)="In",$C84="Error"),"???",IF(LEN(E84)=2,"0",IF(LEN(E84)=1,"00","")))&amp;'Web Links'!E84</f>
        <v>???</v>
      </c>
      <c r="Q84" s="20" t="str">
        <f>IF(OR(LEFT('Web Links'!$C84,2)="In",$C84="Error"),"?????",IF(LEN(G84)=4,"",IF(LEN(G84)=3,"",IF(LEN(G84)=2,"",IF(LEN(G84)=1,"",""))))&amp;'Web Links'!G84)</f>
        <v>?????</v>
      </c>
      <c r="R84" s="20" t="str">
        <f>IF(OR(LEFT('Web Links'!$C84,2)="In",$C84="Error"),"???????????????",""&amp;F84)</f>
        <v>???????????????</v>
      </c>
    </row>
    <row r="85" spans="1:18" x14ac:dyDescent="0.2">
      <c r="A85" s="20">
        <f>IF('GL Template'!B99&lt;&gt;"",'GL Template'!B99,0)</f>
        <v>0</v>
      </c>
      <c r="B85" s="20">
        <f>IF('GL Template'!D99&lt;&gt;"",'GL Template'!D99,0)</f>
        <v>0</v>
      </c>
      <c r="C85" s="20" t="s">
        <v>95</v>
      </c>
      <c r="N85" s="20" t="str">
        <f>IF(OR(LEFT('Web Links'!$C85,2)="In",$C85="Error"),"?????",""&amp;C85)</f>
        <v>?????</v>
      </c>
      <c r="O85" s="20" t="str">
        <f>IF(OR(LEFT('Web Links'!$C85,2)="In",$C85="Error"),"??????????",""&amp;D85)</f>
        <v>??????????</v>
      </c>
      <c r="P85" s="20" t="str">
        <f>IF(OR(LEFT('Web Links'!$C85,2)="In",$C85="Error"),"???",IF(LEN(E85)=2,"0",IF(LEN(E85)=1,"00","")))&amp;'Web Links'!E85</f>
        <v>???</v>
      </c>
      <c r="Q85" s="20" t="str">
        <f>IF(OR(LEFT('Web Links'!$C85,2)="In",$C85="Error"),"?????",IF(LEN(G85)=4,"",IF(LEN(G85)=3,"",IF(LEN(G85)=2,"",IF(LEN(G85)=1,"",""))))&amp;'Web Links'!G85)</f>
        <v>?????</v>
      </c>
      <c r="R85" s="20" t="str">
        <f>IF(OR(LEFT('Web Links'!$C85,2)="In",$C85="Error"),"???????????????",""&amp;F85)</f>
        <v>???????????????</v>
      </c>
    </row>
    <row r="86" spans="1:18" x14ac:dyDescent="0.2">
      <c r="A86" s="20">
        <f>IF('GL Template'!B100&lt;&gt;"",'GL Template'!B100,0)</f>
        <v>0</v>
      </c>
      <c r="B86" s="20">
        <f>IF('GL Template'!D100&lt;&gt;"",'GL Template'!D100,0)</f>
        <v>0</v>
      </c>
      <c r="C86" s="20" t="s">
        <v>95</v>
      </c>
      <c r="N86" s="20" t="str">
        <f>IF(OR(LEFT('Web Links'!$C86,2)="In",$C86="Error"),"?????",""&amp;C86)</f>
        <v>?????</v>
      </c>
      <c r="O86" s="20" t="str">
        <f>IF(OR(LEFT('Web Links'!$C86,2)="In",$C86="Error"),"??????????",""&amp;D86)</f>
        <v>??????????</v>
      </c>
      <c r="P86" s="20" t="str">
        <f>IF(OR(LEFT('Web Links'!$C86,2)="In",$C86="Error"),"???",IF(LEN(E86)=2,"0",IF(LEN(E86)=1,"00","")))&amp;'Web Links'!E86</f>
        <v>???</v>
      </c>
      <c r="Q86" s="20" t="str">
        <f>IF(OR(LEFT('Web Links'!$C86,2)="In",$C86="Error"),"?????",IF(LEN(G86)=4,"",IF(LEN(G86)=3,"",IF(LEN(G86)=2,"",IF(LEN(G86)=1,"",""))))&amp;'Web Links'!G86)</f>
        <v>?????</v>
      </c>
      <c r="R86" s="20" t="str">
        <f>IF(OR(LEFT('Web Links'!$C86,2)="In",$C86="Error"),"???????????????",""&amp;F86)</f>
        <v>???????????????</v>
      </c>
    </row>
    <row r="87" spans="1:18" x14ac:dyDescent="0.2">
      <c r="A87" s="20">
        <f>IF('GL Template'!B101&lt;&gt;"",'GL Template'!B101,0)</f>
        <v>0</v>
      </c>
      <c r="B87" s="20">
        <f>IF('GL Template'!D101&lt;&gt;"",'GL Template'!D101,0)</f>
        <v>0</v>
      </c>
      <c r="C87" s="20" t="s">
        <v>95</v>
      </c>
      <c r="N87" s="20" t="str">
        <f>IF(OR(LEFT('Web Links'!$C87,2)="In",$C87="Error"),"?????",""&amp;C87)</f>
        <v>?????</v>
      </c>
      <c r="O87" s="20" t="str">
        <f>IF(OR(LEFT('Web Links'!$C87,2)="In",$C87="Error"),"??????????",""&amp;D87)</f>
        <v>??????????</v>
      </c>
      <c r="P87" s="20" t="str">
        <f>IF(OR(LEFT('Web Links'!$C87,2)="In",$C87="Error"),"???",IF(LEN(E87)=2,"0",IF(LEN(E87)=1,"00","")))&amp;'Web Links'!E87</f>
        <v>???</v>
      </c>
      <c r="Q87" s="20" t="str">
        <f>IF(OR(LEFT('Web Links'!$C87,2)="In",$C87="Error"),"?????",IF(LEN(G87)=4,"",IF(LEN(G87)=3,"",IF(LEN(G87)=2,"",IF(LEN(G87)=1,"",""))))&amp;'Web Links'!G87)</f>
        <v>?????</v>
      </c>
      <c r="R87" s="20" t="str">
        <f>IF(OR(LEFT('Web Links'!$C87,2)="In",$C87="Error"),"???????????????",""&amp;F87)</f>
        <v>???????????????</v>
      </c>
    </row>
    <row r="88" spans="1:18" x14ac:dyDescent="0.2">
      <c r="A88" s="20">
        <f>IF('GL Template'!B102&lt;&gt;"",'GL Template'!B102,0)</f>
        <v>0</v>
      </c>
      <c r="B88" s="20">
        <f>IF('GL Template'!D102&lt;&gt;"",'GL Template'!D102,0)</f>
        <v>0</v>
      </c>
      <c r="C88" s="20" t="s">
        <v>95</v>
      </c>
      <c r="N88" s="20" t="str">
        <f>IF(OR(LEFT('Web Links'!$C88,2)="In",$C88="Error"),"?????",""&amp;C88)</f>
        <v>?????</v>
      </c>
      <c r="O88" s="20" t="str">
        <f>IF(OR(LEFT('Web Links'!$C88,2)="In",$C88="Error"),"??????????",""&amp;D88)</f>
        <v>??????????</v>
      </c>
      <c r="P88" s="20" t="str">
        <f>IF(OR(LEFT('Web Links'!$C88,2)="In",$C88="Error"),"???",IF(LEN(E88)=2,"0",IF(LEN(E88)=1,"00","")))&amp;'Web Links'!E88</f>
        <v>???</v>
      </c>
      <c r="Q88" s="20" t="str">
        <f>IF(OR(LEFT('Web Links'!$C88,2)="In",$C88="Error"),"?????",IF(LEN(G88)=4,"",IF(LEN(G88)=3,"",IF(LEN(G88)=2,"",IF(LEN(G88)=1,"",""))))&amp;'Web Links'!G88)</f>
        <v>?????</v>
      </c>
      <c r="R88" s="20" t="str">
        <f>IF(OR(LEFT('Web Links'!$C88,2)="In",$C88="Error"),"???????????????",""&amp;F88)</f>
        <v>???????????????</v>
      </c>
    </row>
    <row r="89" spans="1:18" x14ac:dyDescent="0.2">
      <c r="A89" s="20">
        <f>IF('GL Template'!B103&lt;&gt;"",'GL Template'!B103,0)</f>
        <v>0</v>
      </c>
      <c r="B89" s="20">
        <f>IF('GL Template'!D103&lt;&gt;"",'GL Template'!D103,0)</f>
        <v>0</v>
      </c>
      <c r="C89" s="20" t="s">
        <v>95</v>
      </c>
      <c r="N89" s="20" t="str">
        <f>IF(OR(LEFT('Web Links'!$C89,2)="In",$C89="Error"),"?????",""&amp;C89)</f>
        <v>?????</v>
      </c>
      <c r="O89" s="20" t="str">
        <f>IF(OR(LEFT('Web Links'!$C89,2)="In",$C89="Error"),"??????????",""&amp;D89)</f>
        <v>??????????</v>
      </c>
      <c r="P89" s="20" t="str">
        <f>IF(OR(LEFT('Web Links'!$C89,2)="In",$C89="Error"),"???",IF(LEN(E89)=2,"0",IF(LEN(E89)=1,"00","")))&amp;'Web Links'!E89</f>
        <v>???</v>
      </c>
      <c r="Q89" s="20" t="str">
        <f>IF(OR(LEFT('Web Links'!$C89,2)="In",$C89="Error"),"?????",IF(LEN(G89)=4,"",IF(LEN(G89)=3,"",IF(LEN(G89)=2,"",IF(LEN(G89)=1,"",""))))&amp;'Web Links'!G89)</f>
        <v>?????</v>
      </c>
      <c r="R89" s="20" t="str">
        <f>IF(OR(LEFT('Web Links'!$C89,2)="In",$C89="Error"),"???????????????",""&amp;F89)</f>
        <v>???????????????</v>
      </c>
    </row>
    <row r="90" spans="1:18" x14ac:dyDescent="0.2">
      <c r="A90" s="20">
        <f>IF('GL Template'!B104&lt;&gt;"",'GL Template'!B104,0)</f>
        <v>0</v>
      </c>
      <c r="B90" s="20">
        <f>IF('GL Template'!D104&lt;&gt;"",'GL Template'!D104,0)</f>
        <v>0</v>
      </c>
      <c r="C90" s="20" t="s">
        <v>95</v>
      </c>
      <c r="N90" s="20" t="str">
        <f>IF(OR(LEFT('Web Links'!$C90,2)="In",$C90="Error"),"?????",""&amp;C90)</f>
        <v>?????</v>
      </c>
      <c r="O90" s="20" t="str">
        <f>IF(OR(LEFT('Web Links'!$C90,2)="In",$C90="Error"),"??????????",""&amp;D90)</f>
        <v>??????????</v>
      </c>
      <c r="P90" s="20" t="str">
        <f>IF(OR(LEFT('Web Links'!$C90,2)="In",$C90="Error"),"???",IF(LEN(E90)=2,"0",IF(LEN(E90)=1,"00","")))&amp;'Web Links'!E90</f>
        <v>???</v>
      </c>
      <c r="Q90" s="20" t="str">
        <f>IF(OR(LEFT('Web Links'!$C90,2)="In",$C90="Error"),"?????",IF(LEN(G90)=4,"",IF(LEN(G90)=3,"",IF(LEN(G90)=2,"",IF(LEN(G90)=1,"",""))))&amp;'Web Links'!G90)</f>
        <v>?????</v>
      </c>
      <c r="R90" s="20" t="str">
        <f>IF(OR(LEFT('Web Links'!$C90,2)="In",$C90="Error"),"???????????????",""&amp;F90)</f>
        <v>???????????????</v>
      </c>
    </row>
    <row r="91" spans="1:18" x14ac:dyDescent="0.2">
      <c r="A91" s="20">
        <f>IF('GL Template'!B105&lt;&gt;"",'GL Template'!B105,0)</f>
        <v>0</v>
      </c>
      <c r="B91" s="20">
        <f>IF('GL Template'!D105&lt;&gt;"",'GL Template'!D105,0)</f>
        <v>0</v>
      </c>
      <c r="C91" s="20" t="s">
        <v>95</v>
      </c>
      <c r="N91" s="20" t="str">
        <f>IF(OR(LEFT('Web Links'!$C91,2)="In",$C91="Error"),"?????",""&amp;C91)</f>
        <v>?????</v>
      </c>
      <c r="O91" s="20" t="str">
        <f>IF(OR(LEFT('Web Links'!$C91,2)="In",$C91="Error"),"??????????",""&amp;D91)</f>
        <v>??????????</v>
      </c>
      <c r="P91" s="20" t="str">
        <f>IF(OR(LEFT('Web Links'!$C91,2)="In",$C91="Error"),"???",IF(LEN(E91)=2,"0",IF(LEN(E91)=1,"00","")))&amp;'Web Links'!E91</f>
        <v>???</v>
      </c>
      <c r="Q91" s="20" t="str">
        <f>IF(OR(LEFT('Web Links'!$C91,2)="In",$C91="Error"),"?????",IF(LEN(G91)=4,"",IF(LEN(G91)=3,"",IF(LEN(G91)=2,"",IF(LEN(G91)=1,"",""))))&amp;'Web Links'!G91)</f>
        <v>?????</v>
      </c>
      <c r="R91" s="20" t="str">
        <f>IF(OR(LEFT('Web Links'!$C91,2)="In",$C91="Error"),"???????????????",""&amp;F91)</f>
        <v>???????????????</v>
      </c>
    </row>
    <row r="92" spans="1:18" x14ac:dyDescent="0.2">
      <c r="A92" s="20">
        <f>IF('GL Template'!B106&lt;&gt;"",'GL Template'!B106,0)</f>
        <v>0</v>
      </c>
      <c r="B92" s="20">
        <f>IF('GL Template'!D106&lt;&gt;"",'GL Template'!D106,0)</f>
        <v>0</v>
      </c>
      <c r="C92" s="20" t="s">
        <v>95</v>
      </c>
      <c r="N92" s="20" t="str">
        <f>IF(OR(LEFT('Web Links'!$C92,2)="In",$C92="Error"),"?????",""&amp;C92)</f>
        <v>?????</v>
      </c>
      <c r="O92" s="20" t="str">
        <f>IF(OR(LEFT('Web Links'!$C92,2)="In",$C92="Error"),"??????????",""&amp;D92)</f>
        <v>??????????</v>
      </c>
      <c r="P92" s="20" t="str">
        <f>IF(OR(LEFT('Web Links'!$C92,2)="In",$C92="Error"),"???",IF(LEN(E92)=2,"0",IF(LEN(E92)=1,"00","")))&amp;'Web Links'!E92</f>
        <v>???</v>
      </c>
      <c r="Q92" s="20" t="str">
        <f>IF(OR(LEFT('Web Links'!$C92,2)="In",$C92="Error"),"?????",IF(LEN(G92)=4,"",IF(LEN(G92)=3,"",IF(LEN(G92)=2,"",IF(LEN(G92)=1,"",""))))&amp;'Web Links'!G92)</f>
        <v>?????</v>
      </c>
      <c r="R92" s="20" t="str">
        <f>IF(OR(LEFT('Web Links'!$C92,2)="In",$C92="Error"),"???????????????",""&amp;F92)</f>
        <v>???????????????</v>
      </c>
    </row>
    <row r="93" spans="1:18" x14ac:dyDescent="0.2">
      <c r="A93" s="20">
        <f>IF('GL Template'!B107&lt;&gt;"",'GL Template'!B107,0)</f>
        <v>0</v>
      </c>
      <c r="B93" s="20">
        <f>IF('GL Template'!D107&lt;&gt;"",'GL Template'!D107,0)</f>
        <v>0</v>
      </c>
      <c r="C93" s="20" t="s">
        <v>95</v>
      </c>
      <c r="N93" s="20" t="str">
        <f>IF(OR(LEFT('Web Links'!$C93,2)="In",$C93="Error"),"?????",""&amp;C93)</f>
        <v>?????</v>
      </c>
      <c r="O93" s="20" t="str">
        <f>IF(OR(LEFT('Web Links'!$C93,2)="In",$C93="Error"),"??????????",""&amp;D93)</f>
        <v>??????????</v>
      </c>
      <c r="P93" s="20" t="str">
        <f>IF(OR(LEFT('Web Links'!$C93,2)="In",$C93="Error"),"???",IF(LEN(E93)=2,"0",IF(LEN(E93)=1,"00","")))&amp;'Web Links'!E93</f>
        <v>???</v>
      </c>
      <c r="Q93" s="20" t="str">
        <f>IF(OR(LEFT('Web Links'!$C93,2)="In",$C93="Error"),"?????",IF(LEN(G93)=4,"",IF(LEN(G93)=3,"",IF(LEN(G93)=2,"",IF(LEN(G93)=1,"",""))))&amp;'Web Links'!G93)</f>
        <v>?????</v>
      </c>
      <c r="R93" s="20" t="str">
        <f>IF(OR(LEFT('Web Links'!$C93,2)="In",$C93="Error"),"???????????????",""&amp;F93)</f>
        <v>???????????????</v>
      </c>
    </row>
    <row r="94" spans="1:18" x14ac:dyDescent="0.2">
      <c r="A94" s="20">
        <f>IF('GL Template'!B108&lt;&gt;"",'GL Template'!B108,0)</f>
        <v>0</v>
      </c>
      <c r="B94" s="20">
        <f>IF('GL Template'!D108&lt;&gt;"",'GL Template'!D108,0)</f>
        <v>0</v>
      </c>
      <c r="C94" s="20" t="s">
        <v>95</v>
      </c>
      <c r="N94" s="20" t="str">
        <f>IF(OR(LEFT('Web Links'!$C94,2)="In",$C94="Error"),"?????",""&amp;C94)</f>
        <v>?????</v>
      </c>
      <c r="O94" s="20" t="str">
        <f>IF(OR(LEFT('Web Links'!$C94,2)="In",$C94="Error"),"??????????",""&amp;D94)</f>
        <v>??????????</v>
      </c>
      <c r="P94" s="20" t="str">
        <f>IF(OR(LEFT('Web Links'!$C94,2)="In",$C94="Error"),"???",IF(LEN(E94)=2,"0",IF(LEN(E94)=1,"00","")))&amp;'Web Links'!E94</f>
        <v>???</v>
      </c>
      <c r="Q94" s="20" t="str">
        <f>IF(OR(LEFT('Web Links'!$C94,2)="In",$C94="Error"),"?????",IF(LEN(G94)=4,"",IF(LEN(G94)=3,"",IF(LEN(G94)=2,"",IF(LEN(G94)=1,"",""))))&amp;'Web Links'!G94)</f>
        <v>?????</v>
      </c>
      <c r="R94" s="20" t="str">
        <f>IF(OR(LEFT('Web Links'!$C94,2)="In",$C94="Error"),"???????????????",""&amp;F94)</f>
        <v>???????????????</v>
      </c>
    </row>
    <row r="95" spans="1:18" x14ac:dyDescent="0.2">
      <c r="A95" s="20">
        <f>IF('GL Template'!B109&lt;&gt;"",'GL Template'!B109,0)</f>
        <v>0</v>
      </c>
      <c r="B95" s="20">
        <f>IF('GL Template'!D109&lt;&gt;"",'GL Template'!D109,0)</f>
        <v>0</v>
      </c>
      <c r="C95" s="20" t="s">
        <v>95</v>
      </c>
      <c r="N95" s="20" t="str">
        <f>IF(OR(LEFT('Web Links'!$C95,2)="In",$C95="Error"),"?????",""&amp;C95)</f>
        <v>?????</v>
      </c>
      <c r="O95" s="20" t="str">
        <f>IF(OR(LEFT('Web Links'!$C95,2)="In",$C95="Error"),"??????????",""&amp;D95)</f>
        <v>??????????</v>
      </c>
      <c r="P95" s="20" t="str">
        <f>IF(OR(LEFT('Web Links'!$C95,2)="In",$C95="Error"),"???",IF(LEN(E95)=2,"0",IF(LEN(E95)=1,"00","")))&amp;'Web Links'!E95</f>
        <v>???</v>
      </c>
      <c r="Q95" s="20" t="str">
        <f>IF(OR(LEFT('Web Links'!$C95,2)="In",$C95="Error"),"?????",IF(LEN(G95)=4,"",IF(LEN(G95)=3,"",IF(LEN(G95)=2,"",IF(LEN(G95)=1,"",""))))&amp;'Web Links'!G95)</f>
        <v>?????</v>
      </c>
      <c r="R95" s="20" t="str">
        <f>IF(OR(LEFT('Web Links'!$C95,2)="In",$C95="Error"),"???????????????",""&amp;F95)</f>
        <v>???????????????</v>
      </c>
    </row>
    <row r="96" spans="1:18" x14ac:dyDescent="0.2">
      <c r="A96" s="20">
        <f>IF('GL Template'!B110&lt;&gt;"",'GL Template'!B110,0)</f>
        <v>0</v>
      </c>
      <c r="B96" s="20">
        <f>IF('GL Template'!D110&lt;&gt;"",'GL Template'!D110,0)</f>
        <v>0</v>
      </c>
      <c r="C96" s="20" t="s">
        <v>95</v>
      </c>
      <c r="N96" s="20" t="str">
        <f>IF(OR(LEFT('Web Links'!$C96,2)="In",$C96="Error"),"?????",""&amp;C96)</f>
        <v>?????</v>
      </c>
      <c r="O96" s="20" t="str">
        <f>IF(OR(LEFT('Web Links'!$C96,2)="In",$C96="Error"),"??????????",""&amp;D96)</f>
        <v>??????????</v>
      </c>
      <c r="P96" s="20" t="str">
        <f>IF(OR(LEFT('Web Links'!$C96,2)="In",$C96="Error"),"???",IF(LEN(E96)=2,"0",IF(LEN(E96)=1,"00","")))&amp;'Web Links'!E96</f>
        <v>???</v>
      </c>
      <c r="Q96" s="20" t="str">
        <f>IF(OR(LEFT('Web Links'!$C96,2)="In",$C96="Error"),"?????",IF(LEN(G96)=4,"",IF(LEN(G96)=3,"",IF(LEN(G96)=2,"",IF(LEN(G96)=1,"",""))))&amp;'Web Links'!G96)</f>
        <v>?????</v>
      </c>
      <c r="R96" s="20" t="str">
        <f>IF(OR(LEFT('Web Links'!$C96,2)="In",$C96="Error"),"???????????????",""&amp;F96)</f>
        <v>???????????????</v>
      </c>
    </row>
    <row r="97" spans="1:18" x14ac:dyDescent="0.2">
      <c r="A97" s="20">
        <f>IF('GL Template'!B111&lt;&gt;"",'GL Template'!B111,0)</f>
        <v>0</v>
      </c>
      <c r="B97" s="20">
        <f>IF('GL Template'!D111&lt;&gt;"",'GL Template'!D111,0)</f>
        <v>0</v>
      </c>
      <c r="C97" s="20" t="s">
        <v>95</v>
      </c>
      <c r="N97" s="20" t="str">
        <f>IF(OR(LEFT('Web Links'!$C97,2)="In",$C97="Error"),"?????",""&amp;C97)</f>
        <v>?????</v>
      </c>
      <c r="O97" s="20" t="str">
        <f>IF(OR(LEFT('Web Links'!$C97,2)="In",$C97="Error"),"??????????",""&amp;D97)</f>
        <v>??????????</v>
      </c>
      <c r="P97" s="20" t="str">
        <f>IF(OR(LEFT('Web Links'!$C97,2)="In",$C97="Error"),"???",IF(LEN(E97)=2,"0",IF(LEN(E97)=1,"00","")))&amp;'Web Links'!E97</f>
        <v>???</v>
      </c>
      <c r="Q97" s="20" t="str">
        <f>IF(OR(LEFT('Web Links'!$C97,2)="In",$C97="Error"),"?????",IF(LEN(G97)=4,"",IF(LEN(G97)=3,"",IF(LEN(G97)=2,"",IF(LEN(G97)=1,"",""))))&amp;'Web Links'!G97)</f>
        <v>?????</v>
      </c>
      <c r="R97" s="20" t="str">
        <f>IF(OR(LEFT('Web Links'!$C97,2)="In",$C97="Error"),"???????????????",""&amp;F97)</f>
        <v>???????????????</v>
      </c>
    </row>
    <row r="98" spans="1:18" x14ac:dyDescent="0.2">
      <c r="A98" s="20">
        <f>IF('GL Template'!B112&lt;&gt;"",'GL Template'!B112,0)</f>
        <v>0</v>
      </c>
      <c r="B98" s="20">
        <f>IF('GL Template'!D112&lt;&gt;"",'GL Template'!D112,0)</f>
        <v>0</v>
      </c>
      <c r="C98" s="20" t="s">
        <v>95</v>
      </c>
      <c r="N98" s="20" t="str">
        <f>IF(OR(LEFT('Web Links'!$C98,2)="In",$C98="Error"),"?????",""&amp;C98)</f>
        <v>?????</v>
      </c>
      <c r="O98" s="20" t="str">
        <f>IF(OR(LEFT('Web Links'!$C98,2)="In",$C98="Error"),"??????????",""&amp;D98)</f>
        <v>??????????</v>
      </c>
      <c r="P98" s="20" t="str">
        <f>IF(OR(LEFT('Web Links'!$C98,2)="In",$C98="Error"),"???",IF(LEN(E98)=2,"0",IF(LEN(E98)=1,"00","")))&amp;'Web Links'!E98</f>
        <v>???</v>
      </c>
      <c r="Q98" s="20" t="str">
        <f>IF(OR(LEFT('Web Links'!$C98,2)="In",$C98="Error"),"?????",IF(LEN(G98)=4,"",IF(LEN(G98)=3,"",IF(LEN(G98)=2,"",IF(LEN(G98)=1,"",""))))&amp;'Web Links'!G98)</f>
        <v>?????</v>
      </c>
      <c r="R98" s="20" t="str">
        <f>IF(OR(LEFT('Web Links'!$C98,2)="In",$C98="Error"),"???????????????",""&amp;F98)</f>
        <v>???????????????</v>
      </c>
    </row>
    <row r="99" spans="1:18" x14ac:dyDescent="0.2">
      <c r="A99" s="20">
        <f>IF('GL Template'!B113&lt;&gt;"",'GL Template'!B113,0)</f>
        <v>0</v>
      </c>
      <c r="B99" s="20">
        <f>IF('GL Template'!D113&lt;&gt;"",'GL Template'!D113,0)</f>
        <v>0</v>
      </c>
      <c r="C99" s="20" t="s">
        <v>95</v>
      </c>
      <c r="N99" s="20" t="str">
        <f>IF(OR(LEFT('Web Links'!$C99,2)="In",$C99="Error"),"?????",""&amp;C99)</f>
        <v>?????</v>
      </c>
      <c r="O99" s="20" t="str">
        <f>IF(OR(LEFT('Web Links'!$C99,2)="In",$C99="Error"),"??????????",""&amp;D99)</f>
        <v>??????????</v>
      </c>
      <c r="P99" s="20" t="str">
        <f>IF(OR(LEFT('Web Links'!$C99,2)="In",$C99="Error"),"???",IF(LEN(E99)=2,"0",IF(LEN(E99)=1,"00","")))&amp;'Web Links'!E99</f>
        <v>???</v>
      </c>
      <c r="Q99" s="20" t="str">
        <f>IF(OR(LEFT('Web Links'!$C99,2)="In",$C99="Error"),"?????",IF(LEN(G99)=4,"",IF(LEN(G99)=3,"",IF(LEN(G99)=2,"",IF(LEN(G99)=1,"",""))))&amp;'Web Links'!G99)</f>
        <v>?????</v>
      </c>
      <c r="R99" s="20" t="str">
        <f>IF(OR(LEFT('Web Links'!$C99,2)="In",$C99="Error"),"???????????????",""&amp;F99)</f>
        <v>???????????????</v>
      </c>
    </row>
    <row r="100" spans="1:18" x14ac:dyDescent="0.2">
      <c r="A100" s="20">
        <f>IF('GL Template'!B114&lt;&gt;"",'GL Template'!B114,0)</f>
        <v>0</v>
      </c>
      <c r="B100" s="20">
        <f>IF('GL Template'!D114&lt;&gt;"",'GL Template'!D114,0)</f>
        <v>0</v>
      </c>
      <c r="C100" s="20" t="s">
        <v>95</v>
      </c>
      <c r="N100" s="20" t="str">
        <f>IF(OR(LEFT('Web Links'!$C100,2)="In",$C100="Error"),"?????",""&amp;C100)</f>
        <v>?????</v>
      </c>
      <c r="O100" s="20" t="str">
        <f>IF(OR(LEFT('Web Links'!$C100,2)="In",$C100="Error"),"??????????",""&amp;D100)</f>
        <v>??????????</v>
      </c>
      <c r="P100" s="20" t="str">
        <f>IF(OR(LEFT('Web Links'!$C100,2)="In",$C100="Error"),"???",IF(LEN(E100)=2,"0",IF(LEN(E100)=1,"00","")))&amp;'Web Links'!E100</f>
        <v>???</v>
      </c>
      <c r="Q100" s="20" t="str">
        <f>IF(OR(LEFT('Web Links'!$C100,2)="In",$C100="Error"),"?????",IF(LEN(G100)=4,"",IF(LEN(G100)=3,"",IF(LEN(G100)=2,"",IF(LEN(G100)=1,"",""))))&amp;'Web Links'!G100)</f>
        <v>?????</v>
      </c>
      <c r="R100" s="20" t="str">
        <f>IF(OR(LEFT('Web Links'!$C100,2)="In",$C100="Error"),"???????????????",""&amp;F100)</f>
        <v>???????????????</v>
      </c>
    </row>
    <row r="101" spans="1:18" x14ac:dyDescent="0.2">
      <c r="A101" s="20">
        <f>IF('GL Template'!B115&lt;&gt;"",'GL Template'!B115,0)</f>
        <v>0</v>
      </c>
      <c r="B101" s="20">
        <f>IF('GL Template'!D115&lt;&gt;"",'GL Template'!D115,0)</f>
        <v>0</v>
      </c>
      <c r="C101" s="20" t="s">
        <v>95</v>
      </c>
      <c r="N101" s="20" t="str">
        <f>IF(OR(LEFT('Web Links'!$C101,2)="In",$C101="Error"),"?????",""&amp;C101)</f>
        <v>?????</v>
      </c>
      <c r="O101" s="20" t="str">
        <f>IF(OR(LEFT('Web Links'!$C101,2)="In",$C101="Error"),"??????????",""&amp;D101)</f>
        <v>??????????</v>
      </c>
      <c r="P101" s="20" t="str">
        <f>IF(OR(LEFT('Web Links'!$C101,2)="In",$C101="Error"),"???",IF(LEN(E101)=2,"0",IF(LEN(E101)=1,"00","")))&amp;'Web Links'!E101</f>
        <v>???</v>
      </c>
      <c r="Q101" s="20" t="str">
        <f>IF(OR(LEFT('Web Links'!$C101,2)="In",$C101="Error"),"?????",IF(LEN(G101)=4,"",IF(LEN(G101)=3,"",IF(LEN(G101)=2,"",IF(LEN(G101)=1,"",""))))&amp;'Web Links'!G101)</f>
        <v>?????</v>
      </c>
      <c r="R101" s="20" t="str">
        <f>IF(OR(LEFT('Web Links'!$C101,2)="In",$C101="Error"),"???????????????",""&amp;F101)</f>
        <v>???????????????</v>
      </c>
    </row>
    <row r="102" spans="1:18" x14ac:dyDescent="0.2">
      <c r="A102" s="20">
        <f>IF('GL Template'!B116&lt;&gt;"",'GL Template'!B116,0)</f>
        <v>0</v>
      </c>
      <c r="B102" s="20">
        <f>IF('GL Template'!D116&lt;&gt;"",'GL Template'!D116,0)</f>
        <v>0</v>
      </c>
      <c r="C102" s="20" t="s">
        <v>95</v>
      </c>
      <c r="N102" s="20" t="str">
        <f>IF(OR(LEFT('Web Links'!$C102,2)="In",$C102="Error"),"?????",""&amp;C102)</f>
        <v>?????</v>
      </c>
      <c r="O102" s="20" t="str">
        <f>IF(OR(LEFT('Web Links'!$C102,2)="In",$C102="Error"),"??????????",""&amp;D102)</f>
        <v>??????????</v>
      </c>
      <c r="P102" s="20" t="str">
        <f>IF(OR(LEFT('Web Links'!$C102,2)="In",$C102="Error"),"???",IF(LEN(E102)=2,"0",IF(LEN(E102)=1,"00","")))&amp;'Web Links'!E102</f>
        <v>???</v>
      </c>
      <c r="Q102" s="20" t="str">
        <f>IF(OR(LEFT('Web Links'!$C102,2)="In",$C102="Error"),"?????",IF(LEN(G102)=4,"",IF(LEN(G102)=3,"",IF(LEN(G102)=2,"",IF(LEN(G102)=1,"",""))))&amp;'Web Links'!G102)</f>
        <v>?????</v>
      </c>
      <c r="R102" s="20" t="str">
        <f>IF(OR(LEFT('Web Links'!$C102,2)="In",$C102="Error"),"???????????????",""&amp;F102)</f>
        <v>???????????????</v>
      </c>
    </row>
    <row r="103" spans="1:18" x14ac:dyDescent="0.2">
      <c r="A103" s="20">
        <f>IF('GL Template'!B117&lt;&gt;"",'GL Template'!B117,0)</f>
        <v>0</v>
      </c>
      <c r="B103" s="20">
        <f>IF('GL Template'!D117&lt;&gt;"",'GL Template'!D117,0)</f>
        <v>0</v>
      </c>
      <c r="C103" s="20" t="s">
        <v>95</v>
      </c>
      <c r="N103" s="20" t="str">
        <f>IF(OR(LEFT('Web Links'!$C103,2)="In",$C103="Error"),"?????",""&amp;C103)</f>
        <v>?????</v>
      </c>
      <c r="O103" s="20" t="str">
        <f>IF(OR(LEFT('Web Links'!$C103,2)="In",$C103="Error"),"??????????",""&amp;D103)</f>
        <v>??????????</v>
      </c>
      <c r="P103" s="20" t="str">
        <f>IF(OR(LEFT('Web Links'!$C103,2)="In",$C103="Error"),"???",IF(LEN(E103)=2,"0",IF(LEN(E103)=1,"00","")))&amp;'Web Links'!E103</f>
        <v>???</v>
      </c>
      <c r="Q103" s="20" t="str">
        <f>IF(OR(LEFT('Web Links'!$C103,2)="In",$C103="Error"),"?????",IF(LEN(G103)=4,"",IF(LEN(G103)=3,"",IF(LEN(G103)=2,"",IF(LEN(G103)=1,"",""))))&amp;'Web Links'!G103)</f>
        <v>?????</v>
      </c>
      <c r="R103" s="20" t="str">
        <f>IF(OR(LEFT('Web Links'!$C103,2)="In",$C103="Error"),"???????????????",""&amp;F103)</f>
        <v>???????????????</v>
      </c>
    </row>
    <row r="104" spans="1:18" x14ac:dyDescent="0.2">
      <c r="A104" s="20">
        <f>IF('GL Template'!B118&lt;&gt;"",'GL Template'!B118,0)</f>
        <v>0</v>
      </c>
      <c r="B104" s="20">
        <f>IF('GL Template'!D118&lt;&gt;"",'GL Template'!D118,0)</f>
        <v>0</v>
      </c>
      <c r="C104" s="20" t="s">
        <v>95</v>
      </c>
      <c r="N104" s="20" t="str">
        <f>IF(OR(LEFT('Web Links'!$C104,2)="In",$C104="Error"),"?????",""&amp;C104)</f>
        <v>?????</v>
      </c>
      <c r="O104" s="20" t="str">
        <f>IF(OR(LEFT('Web Links'!$C104,2)="In",$C104="Error"),"??????????",""&amp;D104)</f>
        <v>??????????</v>
      </c>
      <c r="P104" s="20" t="str">
        <f>IF(OR(LEFT('Web Links'!$C104,2)="In",$C104="Error"),"???",IF(LEN(E104)=2,"0",IF(LEN(E104)=1,"00","")))&amp;'Web Links'!E104</f>
        <v>???</v>
      </c>
      <c r="Q104" s="20" t="str">
        <f>IF(OR(LEFT('Web Links'!$C104,2)="In",$C104="Error"),"?????",IF(LEN(G104)=4,"",IF(LEN(G104)=3,"",IF(LEN(G104)=2,"",IF(LEN(G104)=1,"",""))))&amp;'Web Links'!G104)</f>
        <v>?????</v>
      </c>
      <c r="R104" s="20" t="str">
        <f>IF(OR(LEFT('Web Links'!$C104,2)="In",$C104="Error"),"???????????????",""&amp;F104)</f>
        <v>???????????????</v>
      </c>
    </row>
    <row r="105" spans="1:18" x14ac:dyDescent="0.2">
      <c r="A105" s="20">
        <f>IF('GL Template'!B119&lt;&gt;"",'GL Template'!B119,0)</f>
        <v>0</v>
      </c>
      <c r="B105" s="20">
        <f>IF('GL Template'!D119&lt;&gt;"",'GL Template'!D119,0)</f>
        <v>0</v>
      </c>
      <c r="C105" s="20" t="s">
        <v>95</v>
      </c>
      <c r="N105" s="20" t="str">
        <f>IF(OR(LEFT('Web Links'!$C105,2)="In",$C105="Error"),"?????",""&amp;C105)</f>
        <v>?????</v>
      </c>
      <c r="O105" s="20" t="str">
        <f>IF(OR(LEFT('Web Links'!$C105,2)="In",$C105="Error"),"??????????",""&amp;D105)</f>
        <v>??????????</v>
      </c>
      <c r="P105" s="20" t="str">
        <f>IF(OR(LEFT('Web Links'!$C105,2)="In",$C105="Error"),"???",IF(LEN(E105)=2,"0",IF(LEN(E105)=1,"00","")))&amp;'Web Links'!E105</f>
        <v>???</v>
      </c>
      <c r="Q105" s="20" t="str">
        <f>IF(OR(LEFT('Web Links'!$C105,2)="In",$C105="Error"),"?????",IF(LEN(G105)=4,"",IF(LEN(G105)=3,"",IF(LEN(G105)=2,"",IF(LEN(G105)=1,"",""))))&amp;'Web Links'!G105)</f>
        <v>?????</v>
      </c>
      <c r="R105" s="20" t="str">
        <f>IF(OR(LEFT('Web Links'!$C105,2)="In",$C105="Error"),"???????????????",""&amp;F105)</f>
        <v>???????????????</v>
      </c>
    </row>
    <row r="106" spans="1:18" x14ac:dyDescent="0.2">
      <c r="A106" s="20">
        <f>IF('GL Template'!B120&lt;&gt;"",'GL Template'!B120,0)</f>
        <v>0</v>
      </c>
      <c r="B106" s="20">
        <f>IF('GL Template'!D120&lt;&gt;"",'GL Template'!D120,0)</f>
        <v>0</v>
      </c>
      <c r="C106" s="20" t="s">
        <v>95</v>
      </c>
      <c r="N106" s="20" t="str">
        <f>IF(OR(LEFT('Web Links'!$C106,2)="In",$C106="Error"),"?????",""&amp;C106)</f>
        <v>?????</v>
      </c>
      <c r="O106" s="20" t="str">
        <f>IF(OR(LEFT('Web Links'!$C106,2)="In",$C106="Error"),"??????????",""&amp;D106)</f>
        <v>??????????</v>
      </c>
      <c r="P106" s="20" t="str">
        <f>IF(OR(LEFT('Web Links'!$C106,2)="In",$C106="Error"),"???",IF(LEN(E106)=2,"0",IF(LEN(E106)=1,"00","")))&amp;'Web Links'!E106</f>
        <v>???</v>
      </c>
      <c r="Q106" s="20" t="str">
        <f>IF(OR(LEFT('Web Links'!$C106,2)="In",$C106="Error"),"?????",IF(LEN(G106)=4,"",IF(LEN(G106)=3,"",IF(LEN(G106)=2,"",IF(LEN(G106)=1,"",""))))&amp;'Web Links'!G106)</f>
        <v>?????</v>
      </c>
      <c r="R106" s="20" t="str">
        <f>IF(OR(LEFT('Web Links'!$C106,2)="In",$C106="Error"),"???????????????",""&amp;F106)</f>
        <v>???????????????</v>
      </c>
    </row>
    <row r="107" spans="1:18" x14ac:dyDescent="0.2">
      <c r="A107" s="20">
        <f>IF('GL Template'!B121&lt;&gt;"",'GL Template'!B121,0)</f>
        <v>0</v>
      </c>
      <c r="B107" s="20">
        <f>IF('GL Template'!D121&lt;&gt;"",'GL Template'!D121,0)</f>
        <v>0</v>
      </c>
      <c r="C107" s="20" t="s">
        <v>95</v>
      </c>
      <c r="N107" s="20" t="str">
        <f>IF(OR(LEFT('Web Links'!$C107,2)="In",$C107="Error"),"?????",""&amp;C107)</f>
        <v>?????</v>
      </c>
      <c r="O107" s="20" t="str">
        <f>IF(OR(LEFT('Web Links'!$C107,2)="In",$C107="Error"),"??????????",""&amp;D107)</f>
        <v>??????????</v>
      </c>
      <c r="P107" s="20" t="str">
        <f>IF(OR(LEFT('Web Links'!$C107,2)="In",$C107="Error"),"???",IF(LEN(E107)=2,"0",IF(LEN(E107)=1,"00","")))&amp;'Web Links'!E107</f>
        <v>???</v>
      </c>
      <c r="Q107" s="20" t="str">
        <f>IF(OR(LEFT('Web Links'!$C107,2)="In",$C107="Error"),"?????",IF(LEN(G107)=4,"",IF(LEN(G107)=3,"",IF(LEN(G107)=2,"",IF(LEN(G107)=1,"",""))))&amp;'Web Links'!G107)</f>
        <v>?????</v>
      </c>
      <c r="R107" s="20" t="str">
        <f>IF(OR(LEFT('Web Links'!$C107,2)="In",$C107="Error"),"???????????????",""&amp;F107)</f>
        <v>???????????????</v>
      </c>
    </row>
    <row r="108" spans="1:18" x14ac:dyDescent="0.2">
      <c r="A108" s="20">
        <f>IF('GL Template'!B122&lt;&gt;"",'GL Template'!B122,0)</f>
        <v>0</v>
      </c>
      <c r="B108" s="20">
        <f>IF('GL Template'!D122&lt;&gt;"",'GL Template'!D122,0)</f>
        <v>0</v>
      </c>
      <c r="C108" s="20" t="s">
        <v>95</v>
      </c>
      <c r="N108" s="20" t="str">
        <f>IF(OR(LEFT('Web Links'!$C108,2)="In",$C108="Error"),"?????",""&amp;C108)</f>
        <v>?????</v>
      </c>
      <c r="O108" s="20" t="str">
        <f>IF(OR(LEFT('Web Links'!$C108,2)="In",$C108="Error"),"??????????",""&amp;D108)</f>
        <v>??????????</v>
      </c>
      <c r="P108" s="20" t="str">
        <f>IF(OR(LEFT('Web Links'!$C108,2)="In",$C108="Error"),"???",IF(LEN(E108)=2,"0",IF(LEN(E108)=1,"00","")))&amp;'Web Links'!E108</f>
        <v>???</v>
      </c>
      <c r="Q108" s="20" t="str">
        <f>IF(OR(LEFT('Web Links'!$C108,2)="In",$C108="Error"),"?????",IF(LEN(G108)=4,"",IF(LEN(G108)=3,"",IF(LEN(G108)=2,"",IF(LEN(G108)=1,"",""))))&amp;'Web Links'!G108)</f>
        <v>?????</v>
      </c>
      <c r="R108" s="20" t="str">
        <f>IF(OR(LEFT('Web Links'!$C108,2)="In",$C108="Error"),"???????????????",""&amp;F108)</f>
        <v>???????????????</v>
      </c>
    </row>
    <row r="109" spans="1:18" x14ac:dyDescent="0.2">
      <c r="A109" s="20">
        <f>IF('GL Template'!B123&lt;&gt;"",'GL Template'!B123,0)</f>
        <v>0</v>
      </c>
      <c r="B109" s="20">
        <f>IF('GL Template'!D123&lt;&gt;"",'GL Template'!D123,0)</f>
        <v>0</v>
      </c>
      <c r="C109" s="20" t="s">
        <v>95</v>
      </c>
      <c r="N109" s="20" t="str">
        <f>IF(OR(LEFT('Web Links'!$C109,2)="In",$C109="Error"),"?????",""&amp;C109)</f>
        <v>?????</v>
      </c>
      <c r="O109" s="20" t="str">
        <f>IF(OR(LEFT('Web Links'!$C109,2)="In",$C109="Error"),"??????????",""&amp;D109)</f>
        <v>??????????</v>
      </c>
      <c r="P109" s="20" t="str">
        <f>IF(OR(LEFT('Web Links'!$C109,2)="In",$C109="Error"),"???",IF(LEN(E109)=2,"0",IF(LEN(E109)=1,"00","")))&amp;'Web Links'!E109</f>
        <v>???</v>
      </c>
      <c r="Q109" s="20" t="str">
        <f>IF(OR(LEFT('Web Links'!$C109,2)="In",$C109="Error"),"?????",IF(LEN(G109)=4,"",IF(LEN(G109)=3,"",IF(LEN(G109)=2,"",IF(LEN(G109)=1,"",""))))&amp;'Web Links'!G109)</f>
        <v>?????</v>
      </c>
      <c r="R109" s="20" t="str">
        <f>IF(OR(LEFT('Web Links'!$C109,2)="In",$C109="Error"),"???????????????",""&amp;F109)</f>
        <v>???????????????</v>
      </c>
    </row>
    <row r="110" spans="1:18" x14ac:dyDescent="0.2">
      <c r="A110" s="20">
        <f>IF('GL Template'!B124&lt;&gt;"",'GL Template'!B124,0)</f>
        <v>0</v>
      </c>
      <c r="B110" s="20">
        <f>IF('GL Template'!D124&lt;&gt;"",'GL Template'!D124,0)</f>
        <v>0</v>
      </c>
      <c r="C110" s="20" t="s">
        <v>95</v>
      </c>
      <c r="N110" s="20" t="str">
        <f>IF(OR(LEFT('Web Links'!$C110,2)="In",$C110="Error"),"?????",""&amp;C110)</f>
        <v>?????</v>
      </c>
      <c r="O110" s="20" t="str">
        <f>IF(OR(LEFT('Web Links'!$C110,2)="In",$C110="Error"),"??????????",""&amp;D110)</f>
        <v>??????????</v>
      </c>
      <c r="P110" s="20" t="str">
        <f>IF(OR(LEFT('Web Links'!$C110,2)="In",$C110="Error"),"???",IF(LEN(E110)=2,"0",IF(LEN(E110)=1,"00","")))&amp;'Web Links'!E110</f>
        <v>???</v>
      </c>
      <c r="Q110" s="20" t="str">
        <f>IF(OR(LEFT('Web Links'!$C110,2)="In",$C110="Error"),"?????",IF(LEN(G110)=4,"",IF(LEN(G110)=3,"",IF(LEN(G110)=2,"",IF(LEN(G110)=1,"",""))))&amp;'Web Links'!G110)</f>
        <v>?????</v>
      </c>
      <c r="R110" s="20" t="str">
        <f>IF(OR(LEFT('Web Links'!$C110,2)="In",$C110="Error"),"???????????????",""&amp;F110)</f>
        <v>???????????????</v>
      </c>
    </row>
    <row r="111" spans="1:18" x14ac:dyDescent="0.2">
      <c r="A111" s="20">
        <f>IF('GL Template'!B125&lt;&gt;"",'GL Template'!B125,0)</f>
        <v>0</v>
      </c>
      <c r="B111" s="20">
        <f>IF('GL Template'!D125&lt;&gt;"",'GL Template'!D125,0)</f>
        <v>0</v>
      </c>
      <c r="C111" s="20" t="s">
        <v>95</v>
      </c>
      <c r="N111" s="20" t="str">
        <f>IF(OR(LEFT('Web Links'!$C111,2)="In",$C111="Error"),"?????",""&amp;C111)</f>
        <v>?????</v>
      </c>
      <c r="O111" s="20" t="str">
        <f>IF(OR(LEFT('Web Links'!$C111,2)="In",$C111="Error"),"??????????",""&amp;D111)</f>
        <v>??????????</v>
      </c>
      <c r="P111" s="20" t="str">
        <f>IF(OR(LEFT('Web Links'!$C111,2)="In",$C111="Error"),"???",IF(LEN(E111)=2,"0",IF(LEN(E111)=1,"00","")))&amp;'Web Links'!E111</f>
        <v>???</v>
      </c>
      <c r="Q111" s="20" t="str">
        <f>IF(OR(LEFT('Web Links'!$C111,2)="In",$C111="Error"),"?????",IF(LEN(G111)=4,"",IF(LEN(G111)=3,"",IF(LEN(G111)=2,"",IF(LEN(G111)=1,"",""))))&amp;'Web Links'!G111)</f>
        <v>?????</v>
      </c>
      <c r="R111" s="20" t="str">
        <f>IF(OR(LEFT('Web Links'!$C111,2)="In",$C111="Error"),"???????????????",""&amp;F111)</f>
        <v>???????????????</v>
      </c>
    </row>
    <row r="112" spans="1:18" x14ac:dyDescent="0.2">
      <c r="A112" s="20">
        <f>IF('GL Template'!B126&lt;&gt;"",'GL Template'!B126,0)</f>
        <v>0</v>
      </c>
      <c r="B112" s="20">
        <f>IF('GL Template'!D126&lt;&gt;"",'GL Template'!D126,0)</f>
        <v>0</v>
      </c>
      <c r="C112" s="20" t="s">
        <v>95</v>
      </c>
      <c r="N112" s="20" t="str">
        <f>IF(OR(LEFT('Web Links'!$C112,2)="In",$C112="Error"),"?????",""&amp;C112)</f>
        <v>?????</v>
      </c>
      <c r="O112" s="20" t="str">
        <f>IF(OR(LEFT('Web Links'!$C112,2)="In",$C112="Error"),"??????????",""&amp;D112)</f>
        <v>??????????</v>
      </c>
      <c r="P112" s="20" t="str">
        <f>IF(OR(LEFT('Web Links'!$C112,2)="In",$C112="Error"),"???",IF(LEN(E112)=2,"0",IF(LEN(E112)=1,"00","")))&amp;'Web Links'!E112</f>
        <v>???</v>
      </c>
      <c r="Q112" s="20" t="str">
        <f>IF(OR(LEFT('Web Links'!$C112,2)="In",$C112="Error"),"?????",IF(LEN(G112)=4,"",IF(LEN(G112)=3,"",IF(LEN(G112)=2,"",IF(LEN(G112)=1,"",""))))&amp;'Web Links'!G112)</f>
        <v>?????</v>
      </c>
      <c r="R112" s="20" t="str">
        <f>IF(OR(LEFT('Web Links'!$C112,2)="In",$C112="Error"),"???????????????",""&amp;F112)</f>
        <v>???????????????</v>
      </c>
    </row>
    <row r="113" spans="1:18" x14ac:dyDescent="0.2">
      <c r="A113" s="20">
        <f>IF('GL Template'!B127&lt;&gt;"",'GL Template'!B127,0)</f>
        <v>0</v>
      </c>
      <c r="B113" s="20">
        <f>IF('GL Template'!D127&lt;&gt;"",'GL Template'!D127,0)</f>
        <v>0</v>
      </c>
      <c r="C113" s="20" t="s">
        <v>95</v>
      </c>
      <c r="N113" s="20" t="str">
        <f>IF(OR(LEFT('Web Links'!$C113,2)="In",$C113="Error"),"?????",""&amp;C113)</f>
        <v>?????</v>
      </c>
      <c r="O113" s="20" t="str">
        <f>IF(OR(LEFT('Web Links'!$C113,2)="In",$C113="Error"),"??????????",""&amp;D113)</f>
        <v>??????????</v>
      </c>
      <c r="P113" s="20" t="str">
        <f>IF(OR(LEFT('Web Links'!$C113,2)="In",$C113="Error"),"???",IF(LEN(E113)=2,"0",IF(LEN(E113)=1,"00","")))&amp;'Web Links'!E113</f>
        <v>???</v>
      </c>
      <c r="Q113" s="20" t="str">
        <f>IF(OR(LEFT('Web Links'!$C113,2)="In",$C113="Error"),"?????",IF(LEN(G113)=4,"",IF(LEN(G113)=3,"",IF(LEN(G113)=2,"",IF(LEN(G113)=1,"",""))))&amp;'Web Links'!G113)</f>
        <v>?????</v>
      </c>
      <c r="R113" s="20" t="str">
        <f>IF(OR(LEFT('Web Links'!$C113,2)="In",$C113="Error"),"???????????????",""&amp;F113)</f>
        <v>???????????????</v>
      </c>
    </row>
    <row r="114" spans="1:18" x14ac:dyDescent="0.2">
      <c r="A114" s="20">
        <f>IF('GL Template'!B128&lt;&gt;"",'GL Template'!B128,0)</f>
        <v>0</v>
      </c>
      <c r="B114" s="20">
        <f>IF('GL Template'!D128&lt;&gt;"",'GL Template'!D128,0)</f>
        <v>0</v>
      </c>
      <c r="C114" s="20" t="s">
        <v>95</v>
      </c>
      <c r="N114" s="20" t="str">
        <f>IF(OR(LEFT('Web Links'!$C114,2)="In",$C114="Error"),"?????",""&amp;C114)</f>
        <v>?????</v>
      </c>
      <c r="O114" s="20" t="str">
        <f>IF(OR(LEFT('Web Links'!$C114,2)="In",$C114="Error"),"??????????",""&amp;D114)</f>
        <v>??????????</v>
      </c>
      <c r="P114" s="20" t="str">
        <f>IF(OR(LEFT('Web Links'!$C114,2)="In",$C114="Error"),"???",IF(LEN(E114)=2,"0",IF(LEN(E114)=1,"00","")))&amp;'Web Links'!E114</f>
        <v>???</v>
      </c>
      <c r="Q114" s="20" t="str">
        <f>IF(OR(LEFT('Web Links'!$C114,2)="In",$C114="Error"),"?????",IF(LEN(G114)=4,"",IF(LEN(G114)=3,"",IF(LEN(G114)=2,"",IF(LEN(G114)=1,"",""))))&amp;'Web Links'!G114)</f>
        <v>?????</v>
      </c>
      <c r="R114" s="20" t="str">
        <f>IF(OR(LEFT('Web Links'!$C114,2)="In",$C114="Error"),"???????????????",""&amp;F114)</f>
        <v>???????????????</v>
      </c>
    </row>
    <row r="115" spans="1:18" x14ac:dyDescent="0.2">
      <c r="A115" s="20">
        <f>IF('GL Template'!B129&lt;&gt;"",'GL Template'!B129,0)</f>
        <v>0</v>
      </c>
      <c r="B115" s="20">
        <f>IF('GL Template'!D129&lt;&gt;"",'GL Template'!D129,0)</f>
        <v>0</v>
      </c>
      <c r="C115" s="20" t="s">
        <v>95</v>
      </c>
      <c r="N115" s="20" t="str">
        <f>IF(OR(LEFT('Web Links'!$C115,2)="In",$C115="Error"),"?????",""&amp;C115)</f>
        <v>?????</v>
      </c>
      <c r="O115" s="20" t="str">
        <f>IF(OR(LEFT('Web Links'!$C115,2)="In",$C115="Error"),"??????????",""&amp;D115)</f>
        <v>??????????</v>
      </c>
      <c r="P115" s="20" t="str">
        <f>IF(OR(LEFT('Web Links'!$C115,2)="In",$C115="Error"),"???",IF(LEN(E115)=2,"0",IF(LEN(E115)=1,"00","")))&amp;'Web Links'!E115</f>
        <v>???</v>
      </c>
      <c r="Q115" s="20" t="str">
        <f>IF(OR(LEFT('Web Links'!$C115,2)="In",$C115="Error"),"?????",IF(LEN(G115)=4,"",IF(LEN(G115)=3,"",IF(LEN(G115)=2,"",IF(LEN(G115)=1,"",""))))&amp;'Web Links'!G115)</f>
        <v>?????</v>
      </c>
      <c r="R115" s="20" t="str">
        <f>IF(OR(LEFT('Web Links'!$C115,2)="In",$C115="Error"),"???????????????",""&amp;F115)</f>
        <v>???????????????</v>
      </c>
    </row>
    <row r="116" spans="1:18" x14ac:dyDescent="0.2">
      <c r="A116" s="20">
        <f>IF('GL Template'!B130&lt;&gt;"",'GL Template'!B130,0)</f>
        <v>0</v>
      </c>
      <c r="B116" s="20">
        <f>IF('GL Template'!D130&lt;&gt;"",'GL Template'!D130,0)</f>
        <v>0</v>
      </c>
      <c r="C116" s="20" t="s">
        <v>95</v>
      </c>
      <c r="N116" s="20" t="str">
        <f>IF(OR(LEFT('Web Links'!$C116,2)="In",$C116="Error"),"?????",""&amp;C116)</f>
        <v>?????</v>
      </c>
      <c r="O116" s="20" t="str">
        <f>IF(OR(LEFT('Web Links'!$C116,2)="In",$C116="Error"),"??????????",""&amp;D116)</f>
        <v>??????????</v>
      </c>
      <c r="P116" s="20" t="str">
        <f>IF(OR(LEFT('Web Links'!$C116,2)="In",$C116="Error"),"???",IF(LEN(E116)=2,"0",IF(LEN(E116)=1,"00","")))&amp;'Web Links'!E116</f>
        <v>???</v>
      </c>
      <c r="Q116" s="20" t="str">
        <f>IF(OR(LEFT('Web Links'!$C116,2)="In",$C116="Error"),"?????",IF(LEN(G116)=4,"",IF(LEN(G116)=3,"",IF(LEN(G116)=2,"",IF(LEN(G116)=1,"",""))))&amp;'Web Links'!G116)</f>
        <v>?????</v>
      </c>
      <c r="R116" s="20" t="str">
        <f>IF(OR(LEFT('Web Links'!$C116,2)="In",$C116="Error"),"???????????????",""&amp;F116)</f>
        <v>???????????????</v>
      </c>
    </row>
    <row r="117" spans="1:18" x14ac:dyDescent="0.2">
      <c r="A117" s="20">
        <f>IF('GL Template'!B131&lt;&gt;"",'GL Template'!B131,0)</f>
        <v>0</v>
      </c>
      <c r="B117" s="20">
        <f>IF('GL Template'!D131&lt;&gt;"",'GL Template'!D131,0)</f>
        <v>0</v>
      </c>
      <c r="C117" s="20" t="s">
        <v>95</v>
      </c>
      <c r="N117" s="20" t="str">
        <f>IF(OR(LEFT('Web Links'!$C117,2)="In",$C117="Error"),"?????",""&amp;C117)</f>
        <v>?????</v>
      </c>
      <c r="O117" s="20" t="str">
        <f>IF(OR(LEFT('Web Links'!$C117,2)="In",$C117="Error"),"??????????",""&amp;D117)</f>
        <v>??????????</v>
      </c>
      <c r="P117" s="20" t="str">
        <f>IF(OR(LEFT('Web Links'!$C117,2)="In",$C117="Error"),"???",IF(LEN(E117)=2,"0",IF(LEN(E117)=1,"00","")))&amp;'Web Links'!E117</f>
        <v>???</v>
      </c>
      <c r="Q117" s="20" t="str">
        <f>IF(OR(LEFT('Web Links'!$C117,2)="In",$C117="Error"),"?????",IF(LEN(G117)=4,"",IF(LEN(G117)=3,"",IF(LEN(G117)=2,"",IF(LEN(G117)=1,"",""))))&amp;'Web Links'!G117)</f>
        <v>?????</v>
      </c>
      <c r="R117" s="20" t="str">
        <f>IF(OR(LEFT('Web Links'!$C117,2)="In",$C117="Error"),"???????????????",""&amp;F117)</f>
        <v>???????????????</v>
      </c>
    </row>
    <row r="118" spans="1:18" x14ac:dyDescent="0.2">
      <c r="A118" s="20">
        <f>IF('GL Template'!B132&lt;&gt;"",'GL Template'!B132,0)</f>
        <v>0</v>
      </c>
      <c r="B118" s="20">
        <f>IF('GL Template'!D132&lt;&gt;"",'GL Template'!D132,0)</f>
        <v>0</v>
      </c>
      <c r="C118" s="20" t="s">
        <v>95</v>
      </c>
      <c r="N118" s="20" t="str">
        <f>IF(OR(LEFT('Web Links'!$C118,2)="In",$C118="Error"),"?????",""&amp;C118)</f>
        <v>?????</v>
      </c>
      <c r="O118" s="20" t="str">
        <f>IF(OR(LEFT('Web Links'!$C118,2)="In",$C118="Error"),"??????????",""&amp;D118)</f>
        <v>??????????</v>
      </c>
      <c r="P118" s="20" t="str">
        <f>IF(OR(LEFT('Web Links'!$C118,2)="In",$C118="Error"),"???",IF(LEN(E118)=2,"0",IF(LEN(E118)=1,"00","")))&amp;'Web Links'!E118</f>
        <v>???</v>
      </c>
      <c r="Q118" s="20" t="str">
        <f>IF(OR(LEFT('Web Links'!$C118,2)="In",$C118="Error"),"?????",IF(LEN(G118)=4,"",IF(LEN(G118)=3,"",IF(LEN(G118)=2,"",IF(LEN(G118)=1,"",""))))&amp;'Web Links'!G118)</f>
        <v>?????</v>
      </c>
      <c r="R118" s="20" t="str">
        <f>IF(OR(LEFT('Web Links'!$C118,2)="In",$C118="Error"),"???????????????",""&amp;F118)</f>
        <v>???????????????</v>
      </c>
    </row>
    <row r="119" spans="1:18" x14ac:dyDescent="0.2">
      <c r="A119" s="20">
        <f>IF('GL Template'!B133&lt;&gt;"",'GL Template'!B133,0)</f>
        <v>0</v>
      </c>
      <c r="B119" s="20">
        <f>IF('GL Template'!D133&lt;&gt;"",'GL Template'!D133,0)</f>
        <v>0</v>
      </c>
      <c r="C119" s="20" t="s">
        <v>95</v>
      </c>
      <c r="N119" s="20" t="str">
        <f>IF(OR(LEFT('Web Links'!$C119,2)="In",$C119="Error"),"?????",""&amp;C119)</f>
        <v>?????</v>
      </c>
      <c r="O119" s="20" t="str">
        <f>IF(OR(LEFT('Web Links'!$C119,2)="In",$C119="Error"),"??????????",""&amp;D119)</f>
        <v>??????????</v>
      </c>
      <c r="P119" s="20" t="str">
        <f>IF(OR(LEFT('Web Links'!$C119,2)="In",$C119="Error"),"???",IF(LEN(E119)=2,"0",IF(LEN(E119)=1,"00","")))&amp;'Web Links'!E119</f>
        <v>???</v>
      </c>
      <c r="Q119" s="20" t="str">
        <f>IF(OR(LEFT('Web Links'!$C119,2)="In",$C119="Error"),"?????",IF(LEN(G119)=4,"",IF(LEN(G119)=3,"",IF(LEN(G119)=2,"",IF(LEN(G119)=1,"",""))))&amp;'Web Links'!G119)</f>
        <v>?????</v>
      </c>
      <c r="R119" s="20" t="str">
        <f>IF(OR(LEFT('Web Links'!$C119,2)="In",$C119="Error"),"???????????????",""&amp;F119)</f>
        <v>???????????????</v>
      </c>
    </row>
    <row r="120" spans="1:18" x14ac:dyDescent="0.2">
      <c r="A120" s="20">
        <f>IF('GL Template'!B134&lt;&gt;"",'GL Template'!B134,0)</f>
        <v>0</v>
      </c>
      <c r="B120" s="20">
        <f>IF('GL Template'!D134&lt;&gt;"",'GL Template'!D134,0)</f>
        <v>0</v>
      </c>
      <c r="C120" s="20" t="s">
        <v>95</v>
      </c>
      <c r="N120" s="20" t="str">
        <f>IF(OR(LEFT('Web Links'!$C120,2)="In",$C120="Error"),"?????",""&amp;C120)</f>
        <v>?????</v>
      </c>
      <c r="O120" s="20" t="str">
        <f>IF(OR(LEFT('Web Links'!$C120,2)="In",$C120="Error"),"??????????",""&amp;D120)</f>
        <v>??????????</v>
      </c>
      <c r="P120" s="20" t="str">
        <f>IF(OR(LEFT('Web Links'!$C120,2)="In",$C120="Error"),"???",IF(LEN(E120)=2,"0",IF(LEN(E120)=1,"00","")))&amp;'Web Links'!E120</f>
        <v>???</v>
      </c>
      <c r="Q120" s="20" t="str">
        <f>IF(OR(LEFT('Web Links'!$C120,2)="In",$C120="Error"),"?????",IF(LEN(G120)=4,"",IF(LEN(G120)=3,"",IF(LEN(G120)=2,"",IF(LEN(G120)=1,"",""))))&amp;'Web Links'!G120)</f>
        <v>?????</v>
      </c>
      <c r="R120" s="20" t="str">
        <f>IF(OR(LEFT('Web Links'!$C120,2)="In",$C120="Error"),"???????????????",""&amp;F120)</f>
        <v>???????????????</v>
      </c>
    </row>
    <row r="121" spans="1:18" x14ac:dyDescent="0.2">
      <c r="A121" s="20">
        <f>IF('GL Template'!B135&lt;&gt;"",'GL Template'!B135,0)</f>
        <v>0</v>
      </c>
      <c r="B121" s="20">
        <f>IF('GL Template'!D135&lt;&gt;"",'GL Template'!D135,0)</f>
        <v>0</v>
      </c>
      <c r="C121" s="20" t="s">
        <v>95</v>
      </c>
      <c r="N121" s="20" t="str">
        <f>IF(OR(LEFT('Web Links'!$C121,2)="In",$C121="Error"),"?????",""&amp;C121)</f>
        <v>?????</v>
      </c>
      <c r="O121" s="20" t="str">
        <f>IF(OR(LEFT('Web Links'!$C121,2)="In",$C121="Error"),"??????????",""&amp;D121)</f>
        <v>??????????</v>
      </c>
      <c r="P121" s="20" t="str">
        <f>IF(OR(LEFT('Web Links'!$C121,2)="In",$C121="Error"),"???",IF(LEN(E121)=2,"0",IF(LEN(E121)=1,"00","")))&amp;'Web Links'!E121</f>
        <v>???</v>
      </c>
      <c r="Q121" s="20" t="str">
        <f>IF(OR(LEFT('Web Links'!$C121,2)="In",$C121="Error"),"?????",IF(LEN(G121)=4,"",IF(LEN(G121)=3,"",IF(LEN(G121)=2,"",IF(LEN(G121)=1,"",""))))&amp;'Web Links'!G121)</f>
        <v>?????</v>
      </c>
      <c r="R121" s="20" t="str">
        <f>IF(OR(LEFT('Web Links'!$C121,2)="In",$C121="Error"),"???????????????",""&amp;F121)</f>
        <v>???????????????</v>
      </c>
    </row>
    <row r="122" spans="1:18" x14ac:dyDescent="0.2">
      <c r="A122" s="20">
        <f>IF('GL Template'!B136&lt;&gt;"",'GL Template'!B136,0)</f>
        <v>0</v>
      </c>
      <c r="B122" s="20">
        <f>IF('GL Template'!D136&lt;&gt;"",'GL Template'!D136,0)</f>
        <v>0</v>
      </c>
      <c r="C122" s="20" t="s">
        <v>95</v>
      </c>
      <c r="N122" s="20" t="str">
        <f>IF(OR(LEFT('Web Links'!$C122,2)="In",$C122="Error"),"?????",""&amp;C122)</f>
        <v>?????</v>
      </c>
      <c r="O122" s="20" t="str">
        <f>IF(OR(LEFT('Web Links'!$C122,2)="In",$C122="Error"),"??????????",""&amp;D122)</f>
        <v>??????????</v>
      </c>
      <c r="P122" s="20" t="str">
        <f>IF(OR(LEFT('Web Links'!$C122,2)="In",$C122="Error"),"???",IF(LEN(E122)=2,"0",IF(LEN(E122)=1,"00","")))&amp;'Web Links'!E122</f>
        <v>???</v>
      </c>
      <c r="Q122" s="20" t="str">
        <f>IF(OR(LEFT('Web Links'!$C122,2)="In",$C122="Error"),"?????",IF(LEN(G122)=4,"",IF(LEN(G122)=3,"",IF(LEN(G122)=2,"",IF(LEN(G122)=1,"",""))))&amp;'Web Links'!G122)</f>
        <v>?????</v>
      </c>
      <c r="R122" s="20" t="str">
        <f>IF(OR(LEFT('Web Links'!$C122,2)="In",$C122="Error"),"???????????????",""&amp;F122)</f>
        <v>???????????????</v>
      </c>
    </row>
    <row r="123" spans="1:18" x14ac:dyDescent="0.2">
      <c r="A123" s="20">
        <f>IF('GL Template'!B137&lt;&gt;"",'GL Template'!B137,0)</f>
        <v>0</v>
      </c>
      <c r="B123" s="20">
        <f>IF('GL Template'!D137&lt;&gt;"",'GL Template'!D137,0)</f>
        <v>0</v>
      </c>
      <c r="C123" s="20" t="s">
        <v>95</v>
      </c>
      <c r="N123" s="20" t="str">
        <f>IF(OR(LEFT('Web Links'!$C123,2)="In",$C123="Error"),"?????",""&amp;C123)</f>
        <v>?????</v>
      </c>
      <c r="O123" s="20" t="str">
        <f>IF(OR(LEFT('Web Links'!$C123,2)="In",$C123="Error"),"??????????",""&amp;D123)</f>
        <v>??????????</v>
      </c>
      <c r="P123" s="20" t="str">
        <f>IF(OR(LEFT('Web Links'!$C123,2)="In",$C123="Error"),"???",IF(LEN(E123)=2,"0",IF(LEN(E123)=1,"00","")))&amp;'Web Links'!E123</f>
        <v>???</v>
      </c>
      <c r="Q123" s="20" t="str">
        <f>IF(OR(LEFT('Web Links'!$C123,2)="In",$C123="Error"),"?????",IF(LEN(G123)=4,"",IF(LEN(G123)=3,"",IF(LEN(G123)=2,"",IF(LEN(G123)=1,"",""))))&amp;'Web Links'!G123)</f>
        <v>?????</v>
      </c>
      <c r="R123" s="20" t="str">
        <f>IF(OR(LEFT('Web Links'!$C123,2)="In",$C123="Error"),"???????????????",""&amp;F123)</f>
        <v>???????????????</v>
      </c>
    </row>
    <row r="124" spans="1:18" x14ac:dyDescent="0.2">
      <c r="A124" s="20">
        <f>IF('GL Template'!B138&lt;&gt;"",'GL Template'!B138,0)</f>
        <v>0</v>
      </c>
      <c r="B124" s="20">
        <f>IF('GL Template'!D138&lt;&gt;"",'GL Template'!D138,0)</f>
        <v>0</v>
      </c>
      <c r="C124" s="20" t="s">
        <v>95</v>
      </c>
      <c r="N124" s="20" t="str">
        <f>IF(OR(LEFT('Web Links'!$C124,2)="In",$C124="Error"),"?????",""&amp;C124)</f>
        <v>?????</v>
      </c>
      <c r="O124" s="20" t="str">
        <f>IF(OR(LEFT('Web Links'!$C124,2)="In",$C124="Error"),"??????????",""&amp;D124)</f>
        <v>??????????</v>
      </c>
      <c r="P124" s="20" t="str">
        <f>IF(OR(LEFT('Web Links'!$C124,2)="In",$C124="Error"),"???",IF(LEN(E124)=2,"0",IF(LEN(E124)=1,"00","")))&amp;'Web Links'!E124</f>
        <v>???</v>
      </c>
      <c r="Q124" s="20" t="str">
        <f>IF(OR(LEFT('Web Links'!$C124,2)="In",$C124="Error"),"?????",IF(LEN(G124)=4,"",IF(LEN(G124)=3,"",IF(LEN(G124)=2,"",IF(LEN(G124)=1,"",""))))&amp;'Web Links'!G124)</f>
        <v>?????</v>
      </c>
      <c r="R124" s="20" t="str">
        <f>IF(OR(LEFT('Web Links'!$C124,2)="In",$C124="Error"),"???????????????",""&amp;F124)</f>
        <v>???????????????</v>
      </c>
    </row>
    <row r="125" spans="1:18" x14ac:dyDescent="0.2">
      <c r="A125" s="20">
        <f>IF('GL Template'!B139&lt;&gt;"",'GL Template'!B139,0)</f>
        <v>0</v>
      </c>
      <c r="B125" s="20">
        <f>IF('GL Template'!D139&lt;&gt;"",'GL Template'!D139,0)</f>
        <v>0</v>
      </c>
      <c r="C125" s="20" t="s">
        <v>95</v>
      </c>
      <c r="N125" s="20" t="str">
        <f>IF(OR(LEFT('Web Links'!$C125,2)="In",$C125="Error"),"?????",""&amp;C125)</f>
        <v>?????</v>
      </c>
      <c r="O125" s="20" t="str">
        <f>IF(OR(LEFT('Web Links'!$C125,2)="In",$C125="Error"),"??????????",""&amp;D125)</f>
        <v>??????????</v>
      </c>
      <c r="P125" s="20" t="str">
        <f>IF(OR(LEFT('Web Links'!$C125,2)="In",$C125="Error"),"???",IF(LEN(E125)=2,"0",IF(LEN(E125)=1,"00","")))&amp;'Web Links'!E125</f>
        <v>???</v>
      </c>
      <c r="Q125" s="20" t="str">
        <f>IF(OR(LEFT('Web Links'!$C125,2)="In",$C125="Error"),"?????",IF(LEN(G125)=4,"",IF(LEN(G125)=3,"",IF(LEN(G125)=2,"",IF(LEN(G125)=1,"",""))))&amp;'Web Links'!G125)</f>
        <v>?????</v>
      </c>
      <c r="R125" s="20" t="str">
        <f>IF(OR(LEFT('Web Links'!$C125,2)="In",$C125="Error"),"???????????????",""&amp;F125)</f>
        <v>???????????????</v>
      </c>
    </row>
    <row r="126" spans="1:18" x14ac:dyDescent="0.2">
      <c r="A126" s="20">
        <f>IF('GL Template'!B140&lt;&gt;"",'GL Template'!B140,0)</f>
        <v>0</v>
      </c>
      <c r="B126" s="20">
        <f>IF('GL Template'!D140&lt;&gt;"",'GL Template'!D140,0)</f>
        <v>0</v>
      </c>
      <c r="C126" s="20" t="s">
        <v>95</v>
      </c>
      <c r="N126" s="20" t="str">
        <f>IF(OR(LEFT('Web Links'!$C126,2)="In",$C126="Error"),"?????",""&amp;C126)</f>
        <v>?????</v>
      </c>
      <c r="O126" s="20" t="str">
        <f>IF(OR(LEFT('Web Links'!$C126,2)="In",$C126="Error"),"??????????",""&amp;D126)</f>
        <v>??????????</v>
      </c>
      <c r="P126" s="20" t="str">
        <f>IF(OR(LEFT('Web Links'!$C126,2)="In",$C126="Error"),"???",IF(LEN(E126)=2,"0",IF(LEN(E126)=1,"00","")))&amp;'Web Links'!E126</f>
        <v>???</v>
      </c>
      <c r="Q126" s="20" t="str">
        <f>IF(OR(LEFT('Web Links'!$C126,2)="In",$C126="Error"),"?????",IF(LEN(G126)=4,"",IF(LEN(G126)=3,"",IF(LEN(G126)=2,"",IF(LEN(G126)=1,"",""))))&amp;'Web Links'!G126)</f>
        <v>?????</v>
      </c>
      <c r="R126" s="20" t="str">
        <f>IF(OR(LEFT('Web Links'!$C126,2)="In",$C126="Error"),"???????????????",""&amp;F126)</f>
        <v>???????????????</v>
      </c>
    </row>
    <row r="127" spans="1:18" x14ac:dyDescent="0.2">
      <c r="A127" s="20">
        <f>IF('GL Template'!B141&lt;&gt;"",'GL Template'!B141,0)</f>
        <v>0</v>
      </c>
      <c r="B127" s="20">
        <f>IF('GL Template'!D141&lt;&gt;"",'GL Template'!D141,0)</f>
        <v>0</v>
      </c>
      <c r="C127" s="20" t="s">
        <v>95</v>
      </c>
      <c r="N127" s="20" t="str">
        <f>IF(OR(LEFT('Web Links'!$C127,2)="In",$C127="Error"),"?????",""&amp;C127)</f>
        <v>?????</v>
      </c>
      <c r="O127" s="20" t="str">
        <f>IF(OR(LEFT('Web Links'!$C127,2)="In",$C127="Error"),"??????????",""&amp;D127)</f>
        <v>??????????</v>
      </c>
      <c r="P127" s="20" t="str">
        <f>IF(OR(LEFT('Web Links'!$C127,2)="In",$C127="Error"),"???",IF(LEN(E127)=2,"0",IF(LEN(E127)=1,"00","")))&amp;'Web Links'!E127</f>
        <v>???</v>
      </c>
      <c r="Q127" s="20" t="str">
        <f>IF(OR(LEFT('Web Links'!$C127,2)="In",$C127="Error"),"?????",IF(LEN(G127)=4,"",IF(LEN(G127)=3,"",IF(LEN(G127)=2,"",IF(LEN(G127)=1,"",""))))&amp;'Web Links'!G127)</f>
        <v>?????</v>
      </c>
      <c r="R127" s="20" t="str">
        <f>IF(OR(LEFT('Web Links'!$C127,2)="In",$C127="Error"),"???????????????",""&amp;F127)</f>
        <v>???????????????</v>
      </c>
    </row>
    <row r="128" spans="1:18" x14ac:dyDescent="0.2">
      <c r="A128" s="20">
        <f>IF('GL Template'!B142&lt;&gt;"",'GL Template'!B142,0)</f>
        <v>0</v>
      </c>
      <c r="B128" s="20">
        <f>IF('GL Template'!D142&lt;&gt;"",'GL Template'!D142,0)</f>
        <v>0</v>
      </c>
      <c r="C128" s="20" t="s">
        <v>95</v>
      </c>
      <c r="N128" s="20" t="str">
        <f>IF(OR(LEFT('Web Links'!$C128,2)="In",$C128="Error"),"?????",""&amp;C128)</f>
        <v>?????</v>
      </c>
      <c r="O128" s="20" t="str">
        <f>IF(OR(LEFT('Web Links'!$C128,2)="In",$C128="Error"),"??????????",""&amp;D128)</f>
        <v>??????????</v>
      </c>
      <c r="P128" s="20" t="str">
        <f>IF(OR(LEFT('Web Links'!$C128,2)="In",$C128="Error"),"???",IF(LEN(E128)=2,"0",IF(LEN(E128)=1,"00","")))&amp;'Web Links'!E128</f>
        <v>???</v>
      </c>
      <c r="Q128" s="20" t="str">
        <f>IF(OR(LEFT('Web Links'!$C128,2)="In",$C128="Error"),"?????",IF(LEN(G128)=4,"",IF(LEN(G128)=3,"",IF(LEN(G128)=2,"",IF(LEN(G128)=1,"",""))))&amp;'Web Links'!G128)</f>
        <v>?????</v>
      </c>
      <c r="R128" s="20" t="str">
        <f>IF(OR(LEFT('Web Links'!$C128,2)="In",$C128="Error"),"???????????????",""&amp;F128)</f>
        <v>???????????????</v>
      </c>
    </row>
    <row r="129" spans="1:18" x14ac:dyDescent="0.2">
      <c r="A129" s="20">
        <f>IF('GL Template'!B143&lt;&gt;"",'GL Template'!B143,0)</f>
        <v>0</v>
      </c>
      <c r="B129" s="20">
        <f>IF('GL Template'!D143&lt;&gt;"",'GL Template'!D143,0)</f>
        <v>0</v>
      </c>
      <c r="C129" s="20" t="s">
        <v>95</v>
      </c>
      <c r="N129" s="20" t="str">
        <f>IF(OR(LEFT('Web Links'!$C129,2)="In",$C129="Error"),"?????",""&amp;C129)</f>
        <v>?????</v>
      </c>
      <c r="O129" s="20" t="str">
        <f>IF(OR(LEFT('Web Links'!$C129,2)="In",$C129="Error"),"??????????",""&amp;D129)</f>
        <v>??????????</v>
      </c>
      <c r="P129" s="20" t="str">
        <f>IF(OR(LEFT('Web Links'!$C129,2)="In",$C129="Error"),"???",IF(LEN(E129)=2,"0",IF(LEN(E129)=1,"00","")))&amp;'Web Links'!E129</f>
        <v>???</v>
      </c>
      <c r="Q129" s="20" t="str">
        <f>IF(OR(LEFT('Web Links'!$C129,2)="In",$C129="Error"),"?????",IF(LEN(G129)=4,"",IF(LEN(G129)=3,"",IF(LEN(G129)=2,"",IF(LEN(G129)=1,"",""))))&amp;'Web Links'!G129)</f>
        <v>?????</v>
      </c>
      <c r="R129" s="20" t="str">
        <f>IF(OR(LEFT('Web Links'!$C129,2)="In",$C129="Error"),"???????????????",""&amp;F129)</f>
        <v>???????????????</v>
      </c>
    </row>
    <row r="130" spans="1:18" x14ac:dyDescent="0.2">
      <c r="A130" s="20">
        <f>IF('GL Template'!B144&lt;&gt;"",'GL Template'!B144,0)</f>
        <v>0</v>
      </c>
      <c r="B130" s="20">
        <f>IF('GL Template'!D144&lt;&gt;"",'GL Template'!D144,0)</f>
        <v>0</v>
      </c>
      <c r="C130" s="20" t="s">
        <v>95</v>
      </c>
      <c r="N130" s="20" t="str">
        <f>IF(OR(LEFT('Web Links'!$C130,2)="In",$C130="Error"),"?????",""&amp;C130)</f>
        <v>?????</v>
      </c>
      <c r="O130" s="20" t="str">
        <f>IF(OR(LEFT('Web Links'!$C130,2)="In",$C130="Error"),"??????????",""&amp;D130)</f>
        <v>??????????</v>
      </c>
      <c r="P130" s="20" t="str">
        <f>IF(OR(LEFT('Web Links'!$C130,2)="In",$C130="Error"),"???",IF(LEN(E130)=2,"0",IF(LEN(E130)=1,"00","")))&amp;'Web Links'!E130</f>
        <v>???</v>
      </c>
      <c r="Q130" s="20" t="str">
        <f>IF(OR(LEFT('Web Links'!$C130,2)="In",$C130="Error"),"?????",IF(LEN(G130)=4,"",IF(LEN(G130)=3,"",IF(LEN(G130)=2,"",IF(LEN(G130)=1,"",""))))&amp;'Web Links'!G130)</f>
        <v>?????</v>
      </c>
      <c r="R130" s="20" t="str">
        <f>IF(OR(LEFT('Web Links'!$C130,2)="In",$C130="Error"),"???????????????",""&amp;F130)</f>
        <v>???????????????</v>
      </c>
    </row>
    <row r="131" spans="1:18" x14ac:dyDescent="0.2">
      <c r="A131" s="20">
        <f>IF('GL Template'!B145&lt;&gt;"",'GL Template'!B145,0)</f>
        <v>0</v>
      </c>
      <c r="B131" s="20">
        <f>IF('GL Template'!D145&lt;&gt;"",'GL Template'!D145,0)</f>
        <v>0</v>
      </c>
      <c r="C131" s="20" t="s">
        <v>95</v>
      </c>
      <c r="N131" s="20" t="str">
        <f>IF(OR(LEFT('Web Links'!$C131,2)="In",$C131="Error"),"?????",""&amp;C131)</f>
        <v>?????</v>
      </c>
      <c r="O131" s="20" t="str">
        <f>IF(OR(LEFT('Web Links'!$C131,2)="In",$C131="Error"),"??????????",""&amp;D131)</f>
        <v>??????????</v>
      </c>
      <c r="P131" s="20" t="str">
        <f>IF(OR(LEFT('Web Links'!$C131,2)="In",$C131="Error"),"???",IF(LEN(E131)=2,"0",IF(LEN(E131)=1,"00","")))&amp;'Web Links'!E131</f>
        <v>???</v>
      </c>
      <c r="Q131" s="20" t="str">
        <f>IF(OR(LEFT('Web Links'!$C131,2)="In",$C131="Error"),"?????",IF(LEN(G131)=4,"",IF(LEN(G131)=3,"",IF(LEN(G131)=2,"",IF(LEN(G131)=1,"",""))))&amp;'Web Links'!G131)</f>
        <v>?????</v>
      </c>
      <c r="R131" s="20" t="str">
        <f>IF(OR(LEFT('Web Links'!$C131,2)="In",$C131="Error"),"???????????????",""&amp;F131)</f>
        <v>???????????????</v>
      </c>
    </row>
    <row r="132" spans="1:18" x14ac:dyDescent="0.2">
      <c r="A132" s="20">
        <f>IF('GL Template'!B146&lt;&gt;"",'GL Template'!B146,0)</f>
        <v>0</v>
      </c>
      <c r="B132" s="20">
        <f>IF('GL Template'!D146&lt;&gt;"",'GL Template'!D146,0)</f>
        <v>0</v>
      </c>
      <c r="C132" s="20" t="s">
        <v>95</v>
      </c>
      <c r="N132" s="20" t="str">
        <f>IF(OR(LEFT('Web Links'!$C132,2)="In",$C132="Error"),"?????",""&amp;C132)</f>
        <v>?????</v>
      </c>
      <c r="O132" s="20" t="str">
        <f>IF(OR(LEFT('Web Links'!$C132,2)="In",$C132="Error"),"??????????",""&amp;D132)</f>
        <v>??????????</v>
      </c>
      <c r="P132" s="20" t="str">
        <f>IF(OR(LEFT('Web Links'!$C132,2)="In",$C132="Error"),"???",IF(LEN(E132)=2,"0",IF(LEN(E132)=1,"00","")))&amp;'Web Links'!E132</f>
        <v>???</v>
      </c>
      <c r="Q132" s="20" t="str">
        <f>IF(OR(LEFT('Web Links'!$C132,2)="In",$C132="Error"),"?????",IF(LEN(G132)=4,"",IF(LEN(G132)=3,"",IF(LEN(G132)=2,"",IF(LEN(G132)=1,"",""))))&amp;'Web Links'!G132)</f>
        <v>?????</v>
      </c>
      <c r="R132" s="20" t="str">
        <f>IF(OR(LEFT('Web Links'!$C132,2)="In",$C132="Error"),"???????????????",""&amp;F132)</f>
        <v>???????????????</v>
      </c>
    </row>
    <row r="133" spans="1:18" x14ac:dyDescent="0.2">
      <c r="A133" s="20">
        <f>IF('GL Template'!B147&lt;&gt;"",'GL Template'!B147,0)</f>
        <v>0</v>
      </c>
      <c r="B133" s="20">
        <f>IF('GL Template'!D147&lt;&gt;"",'GL Template'!D147,0)</f>
        <v>0</v>
      </c>
      <c r="C133" s="20" t="s">
        <v>95</v>
      </c>
      <c r="N133" s="20" t="str">
        <f>IF(OR(LEFT('Web Links'!$C133,2)="In",$C133="Error"),"?????",""&amp;C133)</f>
        <v>?????</v>
      </c>
      <c r="O133" s="20" t="str">
        <f>IF(OR(LEFT('Web Links'!$C133,2)="In",$C133="Error"),"??????????",""&amp;D133)</f>
        <v>??????????</v>
      </c>
      <c r="P133" s="20" t="str">
        <f>IF(OR(LEFT('Web Links'!$C133,2)="In",$C133="Error"),"???",IF(LEN(E133)=2,"0",IF(LEN(E133)=1,"00","")))&amp;'Web Links'!E133</f>
        <v>???</v>
      </c>
      <c r="Q133" s="20" t="str">
        <f>IF(OR(LEFT('Web Links'!$C133,2)="In",$C133="Error"),"?????",IF(LEN(G133)=4,"",IF(LEN(G133)=3,"",IF(LEN(G133)=2,"",IF(LEN(G133)=1,"",""))))&amp;'Web Links'!G133)</f>
        <v>?????</v>
      </c>
      <c r="R133" s="20" t="str">
        <f>IF(OR(LEFT('Web Links'!$C133,2)="In",$C133="Error"),"???????????????",""&amp;F133)</f>
        <v>???????????????</v>
      </c>
    </row>
    <row r="134" spans="1:18" x14ac:dyDescent="0.2">
      <c r="A134" s="20">
        <f>IF('GL Template'!B148&lt;&gt;"",'GL Template'!B148,0)</f>
        <v>0</v>
      </c>
      <c r="B134" s="20">
        <f>IF('GL Template'!D148&lt;&gt;"",'GL Template'!D148,0)</f>
        <v>0</v>
      </c>
      <c r="C134" s="20" t="s">
        <v>95</v>
      </c>
      <c r="N134" s="20" t="str">
        <f>IF(OR(LEFT('Web Links'!$C134,2)="In",$C134="Error"),"?????",""&amp;C134)</f>
        <v>?????</v>
      </c>
      <c r="O134" s="20" t="str">
        <f>IF(OR(LEFT('Web Links'!$C134,2)="In",$C134="Error"),"??????????",""&amp;D134)</f>
        <v>??????????</v>
      </c>
      <c r="P134" s="20" t="str">
        <f>IF(OR(LEFT('Web Links'!$C134,2)="In",$C134="Error"),"???",IF(LEN(E134)=2,"0",IF(LEN(E134)=1,"00","")))&amp;'Web Links'!E134</f>
        <v>???</v>
      </c>
      <c r="Q134" s="20" t="str">
        <f>IF(OR(LEFT('Web Links'!$C134,2)="In",$C134="Error"),"?????",IF(LEN(G134)=4,"",IF(LEN(G134)=3,"",IF(LEN(G134)=2,"",IF(LEN(G134)=1,"",""))))&amp;'Web Links'!G134)</f>
        <v>?????</v>
      </c>
      <c r="R134" s="20" t="str">
        <f>IF(OR(LEFT('Web Links'!$C134,2)="In",$C134="Error"),"???????????????",""&amp;F134)</f>
        <v>???????????????</v>
      </c>
    </row>
    <row r="135" spans="1:18" x14ac:dyDescent="0.2">
      <c r="A135" s="20">
        <f>IF('GL Template'!B149&lt;&gt;"",'GL Template'!B149,0)</f>
        <v>0</v>
      </c>
      <c r="B135" s="20">
        <f>IF('GL Template'!D149&lt;&gt;"",'GL Template'!D149,0)</f>
        <v>0</v>
      </c>
      <c r="C135" s="20" t="s">
        <v>95</v>
      </c>
      <c r="N135" s="20" t="str">
        <f>IF(OR(LEFT('Web Links'!$C135,2)="In",$C135="Error"),"?????",""&amp;C135)</f>
        <v>?????</v>
      </c>
      <c r="O135" s="20" t="str">
        <f>IF(OR(LEFT('Web Links'!$C135,2)="In",$C135="Error"),"??????????",""&amp;D135)</f>
        <v>??????????</v>
      </c>
      <c r="P135" s="20" t="str">
        <f>IF(OR(LEFT('Web Links'!$C135,2)="In",$C135="Error"),"???",IF(LEN(E135)=2,"0",IF(LEN(E135)=1,"00","")))&amp;'Web Links'!E135</f>
        <v>???</v>
      </c>
      <c r="Q135" s="20" t="str">
        <f>IF(OR(LEFT('Web Links'!$C135,2)="In",$C135="Error"),"?????",IF(LEN(G135)=4,"",IF(LEN(G135)=3,"",IF(LEN(G135)=2,"",IF(LEN(G135)=1,"",""))))&amp;'Web Links'!G135)</f>
        <v>?????</v>
      </c>
      <c r="R135" s="20" t="str">
        <f>IF(OR(LEFT('Web Links'!$C135,2)="In",$C135="Error"),"???????????????",""&amp;F135)</f>
        <v>???????????????</v>
      </c>
    </row>
    <row r="136" spans="1:18" x14ac:dyDescent="0.2">
      <c r="A136" s="20">
        <f>IF('GL Template'!B150&lt;&gt;"",'GL Template'!B150,0)</f>
        <v>0</v>
      </c>
      <c r="B136" s="20">
        <f>IF('GL Template'!D150&lt;&gt;"",'GL Template'!D150,0)</f>
        <v>0</v>
      </c>
      <c r="C136" s="20" t="s">
        <v>95</v>
      </c>
      <c r="N136" s="20" t="str">
        <f>IF(OR(LEFT('Web Links'!$C136,2)="In",$C136="Error"),"?????",""&amp;C136)</f>
        <v>?????</v>
      </c>
      <c r="O136" s="20" t="str">
        <f>IF(OR(LEFT('Web Links'!$C136,2)="In",$C136="Error"),"??????????",""&amp;D136)</f>
        <v>??????????</v>
      </c>
      <c r="P136" s="20" t="str">
        <f>IF(OR(LEFT('Web Links'!$C136,2)="In",$C136="Error"),"???",IF(LEN(E136)=2,"0",IF(LEN(E136)=1,"00","")))&amp;'Web Links'!E136</f>
        <v>???</v>
      </c>
      <c r="Q136" s="20" t="str">
        <f>IF(OR(LEFT('Web Links'!$C136,2)="In",$C136="Error"),"?????",IF(LEN(G136)=4,"",IF(LEN(G136)=3,"",IF(LEN(G136)=2,"",IF(LEN(G136)=1,"",""))))&amp;'Web Links'!G136)</f>
        <v>?????</v>
      </c>
      <c r="R136" s="20" t="str">
        <f>IF(OR(LEFT('Web Links'!$C136,2)="In",$C136="Error"),"???????????????",""&amp;F136)</f>
        <v>???????????????</v>
      </c>
    </row>
    <row r="137" spans="1:18" x14ac:dyDescent="0.2">
      <c r="A137" s="20">
        <f>IF('GL Template'!B151&lt;&gt;"",'GL Template'!B151,0)</f>
        <v>0</v>
      </c>
      <c r="B137" s="20">
        <f>IF('GL Template'!D151&lt;&gt;"",'GL Template'!D151,0)</f>
        <v>0</v>
      </c>
      <c r="C137" s="20" t="s">
        <v>95</v>
      </c>
      <c r="N137" s="20" t="str">
        <f>IF(OR(LEFT('Web Links'!$C137,2)="In",$C137="Error"),"?????",""&amp;C137)</f>
        <v>?????</v>
      </c>
      <c r="O137" s="20" t="str">
        <f>IF(OR(LEFT('Web Links'!$C137,2)="In",$C137="Error"),"??????????",""&amp;D137)</f>
        <v>??????????</v>
      </c>
      <c r="P137" s="20" t="str">
        <f>IF(OR(LEFT('Web Links'!$C137,2)="In",$C137="Error"),"???",IF(LEN(E137)=2,"0",IF(LEN(E137)=1,"00","")))&amp;'Web Links'!E137</f>
        <v>???</v>
      </c>
      <c r="Q137" s="20" t="str">
        <f>IF(OR(LEFT('Web Links'!$C137,2)="In",$C137="Error"),"?????",IF(LEN(G137)=4,"",IF(LEN(G137)=3,"",IF(LEN(G137)=2,"",IF(LEN(G137)=1,"",""))))&amp;'Web Links'!G137)</f>
        <v>?????</v>
      </c>
      <c r="R137" s="20" t="str">
        <f>IF(OR(LEFT('Web Links'!$C137,2)="In",$C137="Error"),"???????????????",""&amp;F137)</f>
        <v>???????????????</v>
      </c>
    </row>
    <row r="138" spans="1:18" x14ac:dyDescent="0.2">
      <c r="A138" s="20">
        <f>IF('GL Template'!B152&lt;&gt;"",'GL Template'!B152,0)</f>
        <v>0</v>
      </c>
      <c r="B138" s="20">
        <f>IF('GL Template'!D152&lt;&gt;"",'GL Template'!D152,0)</f>
        <v>0</v>
      </c>
      <c r="C138" s="20" t="s">
        <v>95</v>
      </c>
      <c r="N138" s="20" t="str">
        <f>IF(OR(LEFT('Web Links'!$C138,2)="In",$C138="Error"),"?????",""&amp;C138)</f>
        <v>?????</v>
      </c>
      <c r="O138" s="20" t="str">
        <f>IF(OR(LEFT('Web Links'!$C138,2)="In",$C138="Error"),"??????????",""&amp;D138)</f>
        <v>??????????</v>
      </c>
      <c r="P138" s="20" t="str">
        <f>IF(OR(LEFT('Web Links'!$C138,2)="In",$C138="Error"),"???",IF(LEN(E138)=2,"0",IF(LEN(E138)=1,"00","")))&amp;'Web Links'!E138</f>
        <v>???</v>
      </c>
      <c r="Q138" s="20" t="str">
        <f>IF(OR(LEFT('Web Links'!$C138,2)="In",$C138="Error"),"?????",IF(LEN(G138)=4,"",IF(LEN(G138)=3,"",IF(LEN(G138)=2,"",IF(LEN(G138)=1,"",""))))&amp;'Web Links'!G138)</f>
        <v>?????</v>
      </c>
      <c r="R138" s="20" t="str">
        <f>IF(OR(LEFT('Web Links'!$C138,2)="In",$C138="Error"),"???????????????",""&amp;F138)</f>
        <v>???????????????</v>
      </c>
    </row>
    <row r="139" spans="1:18" x14ac:dyDescent="0.2">
      <c r="A139" s="20">
        <f>IF('GL Template'!B153&lt;&gt;"",'GL Template'!B153,0)</f>
        <v>0</v>
      </c>
      <c r="B139" s="20">
        <f>IF('GL Template'!D153&lt;&gt;"",'GL Template'!D153,0)</f>
        <v>0</v>
      </c>
      <c r="C139" s="20" t="s">
        <v>95</v>
      </c>
      <c r="N139" s="20" t="str">
        <f>IF(OR(LEFT('Web Links'!$C139,2)="In",$C139="Error"),"?????",""&amp;C139)</f>
        <v>?????</v>
      </c>
      <c r="O139" s="20" t="str">
        <f>IF(OR(LEFT('Web Links'!$C139,2)="In",$C139="Error"),"??????????",""&amp;D139)</f>
        <v>??????????</v>
      </c>
      <c r="P139" s="20" t="str">
        <f>IF(OR(LEFT('Web Links'!$C139,2)="In",$C139="Error"),"???",IF(LEN(E139)=2,"0",IF(LEN(E139)=1,"00","")))&amp;'Web Links'!E139</f>
        <v>???</v>
      </c>
      <c r="Q139" s="20" t="str">
        <f>IF(OR(LEFT('Web Links'!$C139,2)="In",$C139="Error"),"?????",IF(LEN(G139)=4,"",IF(LEN(G139)=3,"",IF(LEN(G139)=2,"",IF(LEN(G139)=1,"",""))))&amp;'Web Links'!G139)</f>
        <v>?????</v>
      </c>
      <c r="R139" s="20" t="str">
        <f>IF(OR(LEFT('Web Links'!$C139,2)="In",$C139="Error"),"???????????????",""&amp;F139)</f>
        <v>???????????????</v>
      </c>
    </row>
    <row r="140" spans="1:18" x14ac:dyDescent="0.2">
      <c r="A140" s="20">
        <f>IF('GL Template'!B154&lt;&gt;"",'GL Template'!B154,0)</f>
        <v>0</v>
      </c>
      <c r="B140" s="20">
        <f>IF('GL Template'!D154&lt;&gt;"",'GL Template'!D154,0)</f>
        <v>0</v>
      </c>
      <c r="C140" s="20" t="s">
        <v>95</v>
      </c>
      <c r="N140" s="20" t="str">
        <f>IF(OR(LEFT('Web Links'!$C140,2)="In",$C140="Error"),"?????",""&amp;C140)</f>
        <v>?????</v>
      </c>
      <c r="O140" s="20" t="str">
        <f>IF(OR(LEFT('Web Links'!$C140,2)="In",$C140="Error"),"??????????",""&amp;D140)</f>
        <v>??????????</v>
      </c>
      <c r="P140" s="20" t="str">
        <f>IF(OR(LEFT('Web Links'!$C140,2)="In",$C140="Error"),"???",IF(LEN(E140)=2,"0",IF(LEN(E140)=1,"00","")))&amp;'Web Links'!E140</f>
        <v>???</v>
      </c>
      <c r="Q140" s="20" t="str">
        <f>IF(OR(LEFT('Web Links'!$C140,2)="In",$C140="Error"),"?????",IF(LEN(G140)=4,"",IF(LEN(G140)=3,"",IF(LEN(G140)=2,"",IF(LEN(G140)=1,"",""))))&amp;'Web Links'!G140)</f>
        <v>?????</v>
      </c>
      <c r="R140" s="20" t="str">
        <f>IF(OR(LEFT('Web Links'!$C140,2)="In",$C140="Error"),"???????????????",""&amp;F140)</f>
        <v>???????????????</v>
      </c>
    </row>
    <row r="141" spans="1:18" x14ac:dyDescent="0.2">
      <c r="A141" s="20">
        <f>IF('GL Template'!B155&lt;&gt;"",'GL Template'!B155,0)</f>
        <v>0</v>
      </c>
      <c r="B141" s="20">
        <f>IF('GL Template'!D155&lt;&gt;"",'GL Template'!D155,0)</f>
        <v>0</v>
      </c>
      <c r="C141" s="20" t="s">
        <v>95</v>
      </c>
      <c r="N141" s="20" t="str">
        <f>IF(OR(LEFT('Web Links'!$C141,2)="In",$C141="Error"),"?????",""&amp;C141)</f>
        <v>?????</v>
      </c>
      <c r="O141" s="20" t="str">
        <f>IF(OR(LEFT('Web Links'!$C141,2)="In",$C141="Error"),"??????????",""&amp;D141)</f>
        <v>??????????</v>
      </c>
      <c r="P141" s="20" t="str">
        <f>IF(OR(LEFT('Web Links'!$C141,2)="In",$C141="Error"),"???",IF(LEN(E141)=2,"0",IF(LEN(E141)=1,"00","")))&amp;'Web Links'!E141</f>
        <v>???</v>
      </c>
      <c r="Q141" s="20" t="str">
        <f>IF(OR(LEFT('Web Links'!$C141,2)="In",$C141="Error"),"?????",IF(LEN(G141)=4,"",IF(LEN(G141)=3,"",IF(LEN(G141)=2,"",IF(LEN(G141)=1,"",""))))&amp;'Web Links'!G141)</f>
        <v>?????</v>
      </c>
      <c r="R141" s="20" t="str">
        <f>IF(OR(LEFT('Web Links'!$C141,2)="In",$C141="Error"),"???????????????",""&amp;F141)</f>
        <v>???????????????</v>
      </c>
    </row>
    <row r="142" spans="1:18" x14ac:dyDescent="0.2">
      <c r="A142" s="20">
        <f>IF('GL Template'!B156&lt;&gt;"",'GL Template'!B156,0)</f>
        <v>0</v>
      </c>
      <c r="B142" s="20">
        <f>IF('GL Template'!D156&lt;&gt;"",'GL Template'!D156,0)</f>
        <v>0</v>
      </c>
      <c r="C142" s="20" t="s">
        <v>95</v>
      </c>
      <c r="N142" s="20" t="str">
        <f>IF(OR(LEFT('Web Links'!$C142,2)="In",$C142="Error"),"?????",""&amp;C142)</f>
        <v>?????</v>
      </c>
      <c r="O142" s="20" t="str">
        <f>IF(OR(LEFT('Web Links'!$C142,2)="In",$C142="Error"),"??????????",""&amp;D142)</f>
        <v>??????????</v>
      </c>
      <c r="P142" s="20" t="str">
        <f>IF(OR(LEFT('Web Links'!$C142,2)="In",$C142="Error"),"???",IF(LEN(E142)=2,"0",IF(LEN(E142)=1,"00","")))&amp;'Web Links'!E142</f>
        <v>???</v>
      </c>
      <c r="Q142" s="20" t="str">
        <f>IF(OR(LEFT('Web Links'!$C142,2)="In",$C142="Error"),"?????",IF(LEN(G142)=4,"",IF(LEN(G142)=3,"",IF(LEN(G142)=2,"",IF(LEN(G142)=1,"",""))))&amp;'Web Links'!G142)</f>
        <v>?????</v>
      </c>
      <c r="R142" s="20" t="str">
        <f>IF(OR(LEFT('Web Links'!$C142,2)="In",$C142="Error"),"???????????????",""&amp;F142)</f>
        <v>???????????????</v>
      </c>
    </row>
    <row r="143" spans="1:18" x14ac:dyDescent="0.2">
      <c r="A143" s="20">
        <f>IF('GL Template'!B157&lt;&gt;"",'GL Template'!B157,0)</f>
        <v>0</v>
      </c>
      <c r="B143" s="20">
        <f>IF('GL Template'!D157&lt;&gt;"",'GL Template'!D157,0)</f>
        <v>0</v>
      </c>
      <c r="C143" s="20" t="s">
        <v>95</v>
      </c>
      <c r="N143" s="20" t="str">
        <f>IF(OR(LEFT('Web Links'!$C143,2)="In",$C143="Error"),"?????",""&amp;C143)</f>
        <v>?????</v>
      </c>
      <c r="O143" s="20" t="str">
        <f>IF(OR(LEFT('Web Links'!$C143,2)="In",$C143="Error"),"??????????",""&amp;D143)</f>
        <v>??????????</v>
      </c>
      <c r="P143" s="20" t="str">
        <f>IF(OR(LEFT('Web Links'!$C143,2)="In",$C143="Error"),"???",IF(LEN(E143)=2,"0",IF(LEN(E143)=1,"00","")))&amp;'Web Links'!E143</f>
        <v>???</v>
      </c>
      <c r="Q143" s="20" t="str">
        <f>IF(OR(LEFT('Web Links'!$C143,2)="In",$C143="Error"),"?????",IF(LEN(G143)=4,"",IF(LEN(G143)=3,"",IF(LEN(G143)=2,"",IF(LEN(G143)=1,"",""))))&amp;'Web Links'!G143)</f>
        <v>?????</v>
      </c>
      <c r="R143" s="20" t="str">
        <f>IF(OR(LEFT('Web Links'!$C143,2)="In",$C143="Error"),"???????????????",""&amp;F143)</f>
        <v>???????????????</v>
      </c>
    </row>
    <row r="144" spans="1:18" x14ac:dyDescent="0.2">
      <c r="A144" s="20">
        <f>IF('GL Template'!B158&lt;&gt;"",'GL Template'!B158,0)</f>
        <v>0</v>
      </c>
      <c r="B144" s="20">
        <f>IF('GL Template'!D158&lt;&gt;"",'GL Template'!D158,0)</f>
        <v>0</v>
      </c>
      <c r="C144" s="20" t="s">
        <v>95</v>
      </c>
      <c r="N144" s="20" t="str">
        <f>IF(OR(LEFT('Web Links'!$C144,2)="In",$C144="Error"),"?????",""&amp;C144)</f>
        <v>?????</v>
      </c>
      <c r="O144" s="20" t="str">
        <f>IF(OR(LEFT('Web Links'!$C144,2)="In",$C144="Error"),"??????????",""&amp;D144)</f>
        <v>??????????</v>
      </c>
      <c r="P144" s="20" t="str">
        <f>IF(OR(LEFT('Web Links'!$C144,2)="In",$C144="Error"),"???",IF(LEN(E144)=2,"0",IF(LEN(E144)=1,"00","")))&amp;'Web Links'!E144</f>
        <v>???</v>
      </c>
      <c r="Q144" s="20" t="str">
        <f>IF(OR(LEFT('Web Links'!$C144,2)="In",$C144="Error"),"?????",IF(LEN(G144)=4,"",IF(LEN(G144)=3,"",IF(LEN(G144)=2,"",IF(LEN(G144)=1,"",""))))&amp;'Web Links'!G144)</f>
        <v>?????</v>
      </c>
      <c r="R144" s="20" t="str">
        <f>IF(OR(LEFT('Web Links'!$C144,2)="In",$C144="Error"),"???????????????",""&amp;F144)</f>
        <v>???????????????</v>
      </c>
    </row>
    <row r="145" spans="1:18" x14ac:dyDescent="0.2">
      <c r="A145" s="20">
        <f>IF('GL Template'!B159&lt;&gt;"",'GL Template'!B159,0)</f>
        <v>0</v>
      </c>
      <c r="B145" s="20">
        <f>IF('GL Template'!D159&lt;&gt;"",'GL Template'!D159,0)</f>
        <v>0</v>
      </c>
      <c r="C145" s="20" t="s">
        <v>95</v>
      </c>
      <c r="N145" s="20" t="str">
        <f>IF(OR(LEFT('Web Links'!$C145,2)="In",$C145="Error"),"?????",""&amp;C145)</f>
        <v>?????</v>
      </c>
      <c r="O145" s="20" t="str">
        <f>IF(OR(LEFT('Web Links'!$C145,2)="In",$C145="Error"),"??????????",""&amp;D145)</f>
        <v>??????????</v>
      </c>
      <c r="P145" s="20" t="str">
        <f>IF(OR(LEFT('Web Links'!$C145,2)="In",$C145="Error"),"???",IF(LEN(E145)=2,"0",IF(LEN(E145)=1,"00","")))&amp;'Web Links'!E145</f>
        <v>???</v>
      </c>
      <c r="Q145" s="20" t="str">
        <f>IF(OR(LEFT('Web Links'!$C145,2)="In",$C145="Error"),"?????",IF(LEN(G145)=4,"",IF(LEN(G145)=3,"",IF(LEN(G145)=2,"",IF(LEN(G145)=1,"",""))))&amp;'Web Links'!G145)</f>
        <v>?????</v>
      </c>
      <c r="R145" s="20" t="str">
        <f>IF(OR(LEFT('Web Links'!$C145,2)="In",$C145="Error"),"???????????????",""&amp;F145)</f>
        <v>???????????????</v>
      </c>
    </row>
    <row r="146" spans="1:18" x14ac:dyDescent="0.2">
      <c r="A146" s="20">
        <f>IF('GL Template'!B160&lt;&gt;"",'GL Template'!B160,0)</f>
        <v>0</v>
      </c>
      <c r="B146" s="20">
        <f>IF('GL Template'!D160&lt;&gt;"",'GL Template'!D160,0)</f>
        <v>0</v>
      </c>
      <c r="C146" s="20" t="s">
        <v>95</v>
      </c>
      <c r="N146" s="20" t="str">
        <f>IF(OR(LEFT('Web Links'!$C146,2)="In",$C146="Error"),"?????",""&amp;C146)</f>
        <v>?????</v>
      </c>
      <c r="O146" s="20" t="str">
        <f>IF(OR(LEFT('Web Links'!$C146,2)="In",$C146="Error"),"??????????",""&amp;D146)</f>
        <v>??????????</v>
      </c>
      <c r="P146" s="20" t="str">
        <f>IF(OR(LEFT('Web Links'!$C146,2)="In",$C146="Error"),"???",IF(LEN(E146)=2,"0",IF(LEN(E146)=1,"00","")))&amp;'Web Links'!E146</f>
        <v>???</v>
      </c>
      <c r="Q146" s="20" t="str">
        <f>IF(OR(LEFT('Web Links'!$C146,2)="In",$C146="Error"),"?????",IF(LEN(G146)=4,"",IF(LEN(G146)=3,"",IF(LEN(G146)=2,"",IF(LEN(G146)=1,"",""))))&amp;'Web Links'!G146)</f>
        <v>?????</v>
      </c>
      <c r="R146" s="20" t="str">
        <f>IF(OR(LEFT('Web Links'!$C146,2)="In",$C146="Error"),"???????????????",""&amp;F146)</f>
        <v>???????????????</v>
      </c>
    </row>
    <row r="147" spans="1:18" x14ac:dyDescent="0.2">
      <c r="A147" s="20">
        <f>IF('GL Template'!B161&lt;&gt;"",'GL Template'!B161,0)</f>
        <v>0</v>
      </c>
      <c r="B147" s="20">
        <f>IF('GL Template'!D161&lt;&gt;"",'GL Template'!D161,0)</f>
        <v>0</v>
      </c>
      <c r="C147" s="20" t="s">
        <v>95</v>
      </c>
      <c r="N147" s="20" t="str">
        <f>IF(OR(LEFT('Web Links'!$C147,2)="In",$C147="Error"),"?????",""&amp;C147)</f>
        <v>?????</v>
      </c>
      <c r="O147" s="20" t="str">
        <f>IF(OR(LEFT('Web Links'!$C147,2)="In",$C147="Error"),"??????????",""&amp;D147)</f>
        <v>??????????</v>
      </c>
      <c r="P147" s="20" t="str">
        <f>IF(OR(LEFT('Web Links'!$C147,2)="In",$C147="Error"),"???",IF(LEN(E147)=2,"0",IF(LEN(E147)=1,"00","")))&amp;'Web Links'!E147</f>
        <v>???</v>
      </c>
      <c r="Q147" s="20" t="str">
        <f>IF(OR(LEFT('Web Links'!$C147,2)="In",$C147="Error"),"?????",IF(LEN(G147)=4,"",IF(LEN(G147)=3,"",IF(LEN(G147)=2,"",IF(LEN(G147)=1,"",""))))&amp;'Web Links'!G147)</f>
        <v>?????</v>
      </c>
      <c r="R147" s="20" t="str">
        <f>IF(OR(LEFT('Web Links'!$C147,2)="In",$C147="Error"),"???????????????",""&amp;F147)</f>
        <v>???????????????</v>
      </c>
    </row>
    <row r="148" spans="1:18" x14ac:dyDescent="0.2">
      <c r="A148" s="20">
        <f>IF('GL Template'!B162&lt;&gt;"",'GL Template'!B162,0)</f>
        <v>0</v>
      </c>
      <c r="B148" s="20">
        <f>IF('GL Template'!D162&lt;&gt;"",'GL Template'!D162,0)</f>
        <v>0</v>
      </c>
      <c r="C148" s="20" t="s">
        <v>95</v>
      </c>
      <c r="N148" s="20" t="str">
        <f>IF(OR(LEFT('Web Links'!$C148,2)="In",$C148="Error"),"?????",""&amp;C148)</f>
        <v>?????</v>
      </c>
      <c r="O148" s="20" t="str">
        <f>IF(OR(LEFT('Web Links'!$C148,2)="In",$C148="Error"),"??????????",""&amp;D148)</f>
        <v>??????????</v>
      </c>
      <c r="P148" s="20" t="str">
        <f>IF(OR(LEFT('Web Links'!$C148,2)="In",$C148="Error"),"???",IF(LEN(E148)=2,"0",IF(LEN(E148)=1,"00","")))&amp;'Web Links'!E148</f>
        <v>???</v>
      </c>
      <c r="Q148" s="20" t="str">
        <f>IF(OR(LEFT('Web Links'!$C148,2)="In",$C148="Error"),"?????",IF(LEN(G148)=4,"",IF(LEN(G148)=3,"",IF(LEN(G148)=2,"",IF(LEN(G148)=1,"",""))))&amp;'Web Links'!G148)</f>
        <v>?????</v>
      </c>
      <c r="R148" s="20" t="str">
        <f>IF(OR(LEFT('Web Links'!$C148,2)="In",$C148="Error"),"???????????????",""&amp;F148)</f>
        <v>???????????????</v>
      </c>
    </row>
    <row r="149" spans="1:18" x14ac:dyDescent="0.2">
      <c r="A149" s="20">
        <f>IF('GL Template'!B163&lt;&gt;"",'GL Template'!B163,0)</f>
        <v>0</v>
      </c>
      <c r="B149" s="20">
        <f>IF('GL Template'!D163&lt;&gt;"",'GL Template'!D163,0)</f>
        <v>0</v>
      </c>
      <c r="C149" s="20" t="s">
        <v>95</v>
      </c>
      <c r="N149" s="20" t="str">
        <f>IF(OR(LEFT('Web Links'!$C149,2)="In",$C149="Error"),"?????",""&amp;C149)</f>
        <v>?????</v>
      </c>
      <c r="O149" s="20" t="str">
        <f>IF(OR(LEFT('Web Links'!$C149,2)="In",$C149="Error"),"??????????",""&amp;D149)</f>
        <v>??????????</v>
      </c>
      <c r="P149" s="20" t="str">
        <f>IF(OR(LEFT('Web Links'!$C149,2)="In",$C149="Error"),"???",IF(LEN(E149)=2,"0",IF(LEN(E149)=1,"00","")))&amp;'Web Links'!E149</f>
        <v>???</v>
      </c>
      <c r="Q149" s="20" t="str">
        <f>IF(OR(LEFT('Web Links'!$C149,2)="In",$C149="Error"),"?????",IF(LEN(G149)=4,"",IF(LEN(G149)=3,"",IF(LEN(G149)=2,"",IF(LEN(G149)=1,"",""))))&amp;'Web Links'!G149)</f>
        <v>?????</v>
      </c>
      <c r="R149" s="20" t="str">
        <f>IF(OR(LEFT('Web Links'!$C149,2)="In",$C149="Error"),"???????????????",""&amp;F149)</f>
        <v>???????????????</v>
      </c>
    </row>
    <row r="150" spans="1:18" x14ac:dyDescent="0.2">
      <c r="A150" s="20">
        <f>IF('GL Template'!B164&lt;&gt;"",'GL Template'!B164,0)</f>
        <v>0</v>
      </c>
      <c r="B150" s="20">
        <f>IF('GL Template'!D164&lt;&gt;"",'GL Template'!D164,0)</f>
        <v>0</v>
      </c>
      <c r="C150" s="20" t="s">
        <v>95</v>
      </c>
      <c r="N150" s="20" t="str">
        <f>IF(OR(LEFT('Web Links'!$C150,2)="In",$C150="Error"),"?????",""&amp;C150)</f>
        <v>?????</v>
      </c>
      <c r="O150" s="20" t="str">
        <f>IF(OR(LEFT('Web Links'!$C150,2)="In",$C150="Error"),"??????????",""&amp;D150)</f>
        <v>??????????</v>
      </c>
      <c r="P150" s="20" t="str">
        <f>IF(OR(LEFT('Web Links'!$C150,2)="In",$C150="Error"),"???",IF(LEN(E150)=2,"0",IF(LEN(E150)=1,"00","")))&amp;'Web Links'!E150</f>
        <v>???</v>
      </c>
      <c r="Q150" s="20" t="str">
        <f>IF(OR(LEFT('Web Links'!$C150,2)="In",$C150="Error"),"?????",IF(LEN(G150)=4,"",IF(LEN(G150)=3,"",IF(LEN(G150)=2,"",IF(LEN(G150)=1,"",""))))&amp;'Web Links'!G150)</f>
        <v>?????</v>
      </c>
      <c r="R150" s="20" t="str">
        <f>IF(OR(LEFT('Web Links'!$C150,2)="In",$C150="Error"),"???????????????",""&amp;F150)</f>
        <v>???????????????</v>
      </c>
    </row>
    <row r="151" spans="1:18" x14ac:dyDescent="0.2">
      <c r="A151" s="20">
        <f>IF('GL Template'!B165&lt;&gt;"",'GL Template'!B165,0)</f>
        <v>0</v>
      </c>
      <c r="B151" s="20">
        <f>IF('GL Template'!D165&lt;&gt;"",'GL Template'!D165,0)</f>
        <v>0</v>
      </c>
      <c r="C151" s="20" t="s">
        <v>95</v>
      </c>
      <c r="N151" s="20" t="str">
        <f>IF(OR(LEFT('Web Links'!$C151,2)="In",$C151="Error"),"?????",""&amp;C151)</f>
        <v>?????</v>
      </c>
      <c r="O151" s="20" t="str">
        <f>IF(OR(LEFT('Web Links'!$C151,2)="In",$C151="Error"),"??????????",""&amp;D151)</f>
        <v>??????????</v>
      </c>
      <c r="P151" s="20" t="str">
        <f>IF(OR(LEFT('Web Links'!$C151,2)="In",$C151="Error"),"???",IF(LEN(E151)=2,"0",IF(LEN(E151)=1,"00","")))&amp;'Web Links'!E151</f>
        <v>???</v>
      </c>
      <c r="Q151" s="20" t="str">
        <f>IF(OR(LEFT('Web Links'!$C151,2)="In",$C151="Error"),"?????",IF(LEN(G151)=4,"",IF(LEN(G151)=3,"",IF(LEN(G151)=2,"",IF(LEN(G151)=1,"",""))))&amp;'Web Links'!G151)</f>
        <v>?????</v>
      </c>
      <c r="R151" s="20" t="str">
        <f>IF(OR(LEFT('Web Links'!$C151,2)="In",$C151="Error"),"???????????????",""&amp;F151)</f>
        <v>???????????????</v>
      </c>
    </row>
    <row r="152" spans="1:18" x14ac:dyDescent="0.2">
      <c r="A152" s="20">
        <f>IF('GL Template'!B166&lt;&gt;"",'GL Template'!B166,0)</f>
        <v>0</v>
      </c>
      <c r="B152" s="20">
        <f>IF('GL Template'!D166&lt;&gt;"",'GL Template'!D166,0)</f>
        <v>0</v>
      </c>
      <c r="C152" s="20" t="s">
        <v>95</v>
      </c>
      <c r="N152" s="20" t="str">
        <f>IF(OR(LEFT('Web Links'!$C152,2)="In",$C152="Error"),"?????",""&amp;C152)</f>
        <v>?????</v>
      </c>
      <c r="O152" s="20" t="str">
        <f>IF(OR(LEFT('Web Links'!$C152,2)="In",$C152="Error"),"??????????",""&amp;D152)</f>
        <v>??????????</v>
      </c>
      <c r="P152" s="20" t="str">
        <f>IF(OR(LEFT('Web Links'!$C152,2)="In",$C152="Error"),"???",IF(LEN(E152)=2,"0",IF(LEN(E152)=1,"00","")))&amp;'Web Links'!E152</f>
        <v>???</v>
      </c>
      <c r="Q152" s="20" t="str">
        <f>IF(OR(LEFT('Web Links'!$C152,2)="In",$C152="Error"),"?????",IF(LEN(G152)=4,"",IF(LEN(G152)=3,"",IF(LEN(G152)=2,"",IF(LEN(G152)=1,"",""))))&amp;'Web Links'!G152)</f>
        <v>?????</v>
      </c>
      <c r="R152" s="20" t="str">
        <f>IF(OR(LEFT('Web Links'!$C152,2)="In",$C152="Error"),"???????????????",""&amp;F152)</f>
        <v>???????????????</v>
      </c>
    </row>
    <row r="153" spans="1:18" x14ac:dyDescent="0.2">
      <c r="A153" s="20">
        <f>IF('GL Template'!B167&lt;&gt;"",'GL Template'!B167,0)</f>
        <v>0</v>
      </c>
      <c r="B153" s="20">
        <f>IF('GL Template'!D167&lt;&gt;"",'GL Template'!D167,0)</f>
        <v>0</v>
      </c>
      <c r="C153" s="20" t="s">
        <v>95</v>
      </c>
      <c r="N153" s="20" t="str">
        <f>IF(OR(LEFT('Web Links'!$C153,2)="In",$C153="Error"),"?????",""&amp;C153)</f>
        <v>?????</v>
      </c>
      <c r="O153" s="20" t="str">
        <f>IF(OR(LEFT('Web Links'!$C153,2)="In",$C153="Error"),"??????????",""&amp;D153)</f>
        <v>??????????</v>
      </c>
      <c r="P153" s="20" t="str">
        <f>IF(OR(LEFT('Web Links'!$C153,2)="In",$C153="Error"),"???",IF(LEN(E153)=2,"0",IF(LEN(E153)=1,"00","")))&amp;'Web Links'!E153</f>
        <v>???</v>
      </c>
      <c r="Q153" s="20" t="str">
        <f>IF(OR(LEFT('Web Links'!$C153,2)="In",$C153="Error"),"?????",IF(LEN(G153)=4,"",IF(LEN(G153)=3,"",IF(LEN(G153)=2,"",IF(LEN(G153)=1,"",""))))&amp;'Web Links'!G153)</f>
        <v>?????</v>
      </c>
      <c r="R153" s="20" t="str">
        <f>IF(OR(LEFT('Web Links'!$C153,2)="In",$C153="Error"),"???????????????",""&amp;F153)</f>
        <v>???????????????</v>
      </c>
    </row>
    <row r="154" spans="1:18" x14ac:dyDescent="0.2">
      <c r="A154" s="20">
        <f>IF('GL Template'!B168&lt;&gt;"",'GL Template'!B168,0)</f>
        <v>0</v>
      </c>
      <c r="B154" s="20">
        <f>IF('GL Template'!D168&lt;&gt;"",'GL Template'!D168,0)</f>
        <v>0</v>
      </c>
      <c r="C154" s="20" t="s">
        <v>95</v>
      </c>
      <c r="N154" s="20" t="str">
        <f>IF(OR(LEFT('Web Links'!$C154,2)="In",$C154="Error"),"?????",""&amp;C154)</f>
        <v>?????</v>
      </c>
      <c r="O154" s="20" t="str">
        <f>IF(OR(LEFT('Web Links'!$C154,2)="In",$C154="Error"),"??????????",""&amp;D154)</f>
        <v>??????????</v>
      </c>
      <c r="P154" s="20" t="str">
        <f>IF(OR(LEFT('Web Links'!$C154,2)="In",$C154="Error"),"???",IF(LEN(E154)=2,"0",IF(LEN(E154)=1,"00","")))&amp;'Web Links'!E154</f>
        <v>???</v>
      </c>
      <c r="Q154" s="20" t="str">
        <f>IF(OR(LEFT('Web Links'!$C154,2)="In",$C154="Error"),"?????",IF(LEN(G154)=4,"",IF(LEN(G154)=3,"",IF(LEN(G154)=2,"",IF(LEN(G154)=1,"",""))))&amp;'Web Links'!G154)</f>
        <v>?????</v>
      </c>
      <c r="R154" s="20" t="str">
        <f>IF(OR(LEFT('Web Links'!$C154,2)="In",$C154="Error"),"???????????????",""&amp;F154)</f>
        <v>???????????????</v>
      </c>
    </row>
    <row r="155" spans="1:18" x14ac:dyDescent="0.2">
      <c r="A155" s="20">
        <f>IF('GL Template'!B169&lt;&gt;"",'GL Template'!B169,0)</f>
        <v>0</v>
      </c>
      <c r="B155" s="20">
        <f>IF('GL Template'!D169&lt;&gt;"",'GL Template'!D169,0)</f>
        <v>0</v>
      </c>
      <c r="C155" s="20" t="s">
        <v>95</v>
      </c>
      <c r="N155" s="20" t="str">
        <f>IF(OR(LEFT('Web Links'!$C155,2)="In",$C155="Error"),"?????",""&amp;C155)</f>
        <v>?????</v>
      </c>
      <c r="O155" s="20" t="str">
        <f>IF(OR(LEFT('Web Links'!$C155,2)="In",$C155="Error"),"??????????",""&amp;D155)</f>
        <v>??????????</v>
      </c>
      <c r="P155" s="20" t="str">
        <f>IF(OR(LEFT('Web Links'!$C155,2)="In",$C155="Error"),"???",IF(LEN(E155)=2,"0",IF(LEN(E155)=1,"00","")))&amp;'Web Links'!E155</f>
        <v>???</v>
      </c>
      <c r="Q155" s="20" t="str">
        <f>IF(OR(LEFT('Web Links'!$C155,2)="In",$C155="Error"),"?????",IF(LEN(G155)=4,"",IF(LEN(G155)=3,"",IF(LEN(G155)=2,"",IF(LEN(G155)=1,"",""))))&amp;'Web Links'!G155)</f>
        <v>?????</v>
      </c>
      <c r="R155" s="20" t="str">
        <f>IF(OR(LEFT('Web Links'!$C155,2)="In",$C155="Error"),"???????????????",""&amp;F155)</f>
        <v>???????????????</v>
      </c>
    </row>
    <row r="156" spans="1:18" x14ac:dyDescent="0.2">
      <c r="A156" s="20">
        <f>IF('GL Template'!B170&lt;&gt;"",'GL Template'!B170,0)</f>
        <v>0</v>
      </c>
      <c r="B156" s="20">
        <f>IF('GL Template'!D170&lt;&gt;"",'GL Template'!D170,0)</f>
        <v>0</v>
      </c>
      <c r="C156" s="20" t="s">
        <v>95</v>
      </c>
      <c r="N156" s="20" t="str">
        <f>IF(OR(LEFT('Web Links'!$C156,2)="In",$C156="Error"),"?????",""&amp;C156)</f>
        <v>?????</v>
      </c>
      <c r="O156" s="20" t="str">
        <f>IF(OR(LEFT('Web Links'!$C156,2)="In",$C156="Error"),"??????????",""&amp;D156)</f>
        <v>??????????</v>
      </c>
      <c r="P156" s="20" t="str">
        <f>IF(OR(LEFT('Web Links'!$C156,2)="In",$C156="Error"),"???",IF(LEN(E156)=2,"0",IF(LEN(E156)=1,"00","")))&amp;'Web Links'!E156</f>
        <v>???</v>
      </c>
      <c r="Q156" s="20" t="str">
        <f>IF(OR(LEFT('Web Links'!$C156,2)="In",$C156="Error"),"?????",IF(LEN(G156)=4,"",IF(LEN(G156)=3,"",IF(LEN(G156)=2,"",IF(LEN(G156)=1,"",""))))&amp;'Web Links'!G156)</f>
        <v>?????</v>
      </c>
      <c r="R156" s="20" t="str">
        <f>IF(OR(LEFT('Web Links'!$C156,2)="In",$C156="Error"),"???????????????",""&amp;F156)</f>
        <v>???????????????</v>
      </c>
    </row>
    <row r="157" spans="1:18" x14ac:dyDescent="0.2">
      <c r="A157" s="20">
        <f>IF('GL Template'!B171&lt;&gt;"",'GL Template'!B171,0)</f>
        <v>0</v>
      </c>
      <c r="B157" s="20">
        <f>IF('GL Template'!D171&lt;&gt;"",'GL Template'!D171,0)</f>
        <v>0</v>
      </c>
      <c r="C157" s="20" t="s">
        <v>95</v>
      </c>
      <c r="N157" s="20" t="str">
        <f>IF(OR(LEFT('Web Links'!$C157,2)="In",$C157="Error"),"?????",""&amp;C157)</f>
        <v>?????</v>
      </c>
      <c r="O157" s="20" t="str">
        <f>IF(OR(LEFT('Web Links'!$C157,2)="In",$C157="Error"),"??????????",""&amp;D157)</f>
        <v>??????????</v>
      </c>
      <c r="P157" s="20" t="str">
        <f>IF(OR(LEFT('Web Links'!$C157,2)="In",$C157="Error"),"???",IF(LEN(E157)=2,"0",IF(LEN(E157)=1,"00","")))&amp;'Web Links'!E157</f>
        <v>???</v>
      </c>
      <c r="Q157" s="20" t="str">
        <f>IF(OR(LEFT('Web Links'!$C157,2)="In",$C157="Error"),"?????",IF(LEN(G157)=4,"",IF(LEN(G157)=3,"",IF(LEN(G157)=2,"",IF(LEN(G157)=1,"",""))))&amp;'Web Links'!G157)</f>
        <v>?????</v>
      </c>
      <c r="R157" s="20" t="str">
        <f>IF(OR(LEFT('Web Links'!$C157,2)="In",$C157="Error"),"???????????????",""&amp;F157)</f>
        <v>???????????????</v>
      </c>
    </row>
    <row r="158" spans="1:18" x14ac:dyDescent="0.2">
      <c r="A158" s="20">
        <f>IF('GL Template'!B172&lt;&gt;"",'GL Template'!B172,0)</f>
        <v>0</v>
      </c>
      <c r="B158" s="20">
        <f>IF('GL Template'!D172&lt;&gt;"",'GL Template'!D172,0)</f>
        <v>0</v>
      </c>
      <c r="C158" s="20" t="s">
        <v>95</v>
      </c>
      <c r="N158" s="20" t="str">
        <f>IF(OR(LEFT('Web Links'!$C158,2)="In",$C158="Error"),"?????",""&amp;C158)</f>
        <v>?????</v>
      </c>
      <c r="O158" s="20" t="str">
        <f>IF(OR(LEFT('Web Links'!$C158,2)="In",$C158="Error"),"??????????",""&amp;D158)</f>
        <v>??????????</v>
      </c>
      <c r="P158" s="20" t="str">
        <f>IF(OR(LEFT('Web Links'!$C158,2)="In",$C158="Error"),"???",IF(LEN(E158)=2,"0",IF(LEN(E158)=1,"00","")))&amp;'Web Links'!E158</f>
        <v>???</v>
      </c>
      <c r="Q158" s="20" t="str">
        <f>IF(OR(LEFT('Web Links'!$C158,2)="In",$C158="Error"),"?????",IF(LEN(G158)=4,"",IF(LEN(G158)=3,"",IF(LEN(G158)=2,"",IF(LEN(G158)=1,"",""))))&amp;'Web Links'!G158)</f>
        <v>?????</v>
      </c>
      <c r="R158" s="20" t="str">
        <f>IF(OR(LEFT('Web Links'!$C158,2)="In",$C158="Error"),"???????????????",""&amp;F158)</f>
        <v>???????????????</v>
      </c>
    </row>
    <row r="159" spans="1:18" x14ac:dyDescent="0.2">
      <c r="A159" s="20">
        <f>IF('GL Template'!B173&lt;&gt;"",'GL Template'!B173,0)</f>
        <v>0</v>
      </c>
      <c r="B159" s="20">
        <f>IF('GL Template'!D173&lt;&gt;"",'GL Template'!D173,0)</f>
        <v>0</v>
      </c>
      <c r="C159" s="20" t="s">
        <v>95</v>
      </c>
      <c r="N159" s="20" t="str">
        <f>IF(OR(LEFT('Web Links'!$C159,2)="In",$C159="Error"),"?????",""&amp;C159)</f>
        <v>?????</v>
      </c>
      <c r="O159" s="20" t="str">
        <f>IF(OR(LEFT('Web Links'!$C159,2)="In",$C159="Error"),"??????????",""&amp;D159)</f>
        <v>??????????</v>
      </c>
      <c r="P159" s="20" t="str">
        <f>IF(OR(LEFT('Web Links'!$C159,2)="In",$C159="Error"),"???",IF(LEN(E159)=2,"0",IF(LEN(E159)=1,"00","")))&amp;'Web Links'!E159</f>
        <v>???</v>
      </c>
      <c r="Q159" s="20" t="str">
        <f>IF(OR(LEFT('Web Links'!$C159,2)="In",$C159="Error"),"?????",IF(LEN(G159)=4,"",IF(LEN(G159)=3,"",IF(LEN(G159)=2,"",IF(LEN(G159)=1,"",""))))&amp;'Web Links'!G159)</f>
        <v>?????</v>
      </c>
      <c r="R159" s="20" t="str">
        <f>IF(OR(LEFT('Web Links'!$C159,2)="In",$C159="Error"),"???????????????",""&amp;F159)</f>
        <v>???????????????</v>
      </c>
    </row>
    <row r="160" spans="1:18" x14ac:dyDescent="0.2">
      <c r="A160" s="20">
        <f>IF('GL Template'!B174&lt;&gt;"",'GL Template'!B174,0)</f>
        <v>0</v>
      </c>
      <c r="B160" s="20">
        <f>IF('GL Template'!D174&lt;&gt;"",'GL Template'!D174,0)</f>
        <v>0</v>
      </c>
      <c r="C160" s="20" t="s">
        <v>95</v>
      </c>
      <c r="N160" s="20" t="str">
        <f>IF(OR(LEFT('Web Links'!$C160,2)="In",$C160="Error"),"?????",""&amp;C160)</f>
        <v>?????</v>
      </c>
      <c r="O160" s="20" t="str">
        <f>IF(OR(LEFT('Web Links'!$C160,2)="In",$C160="Error"),"??????????",""&amp;D160)</f>
        <v>??????????</v>
      </c>
      <c r="P160" s="20" t="str">
        <f>IF(OR(LEFT('Web Links'!$C160,2)="In",$C160="Error"),"???",IF(LEN(E160)=2,"0",IF(LEN(E160)=1,"00","")))&amp;'Web Links'!E160</f>
        <v>???</v>
      </c>
      <c r="Q160" s="20" t="str">
        <f>IF(OR(LEFT('Web Links'!$C160,2)="In",$C160="Error"),"?????",IF(LEN(G160)=4,"",IF(LEN(G160)=3,"",IF(LEN(G160)=2,"",IF(LEN(G160)=1,"",""))))&amp;'Web Links'!G160)</f>
        <v>?????</v>
      </c>
      <c r="R160" s="20" t="str">
        <f>IF(OR(LEFT('Web Links'!$C160,2)="In",$C160="Error"),"???????????????",""&amp;F160)</f>
        <v>???????????????</v>
      </c>
    </row>
    <row r="161" spans="1:18" x14ac:dyDescent="0.2">
      <c r="A161" s="20">
        <f>IF('GL Template'!B175&lt;&gt;"",'GL Template'!B175,0)</f>
        <v>0</v>
      </c>
      <c r="B161" s="20">
        <f>IF('GL Template'!D175&lt;&gt;"",'GL Template'!D175,0)</f>
        <v>0</v>
      </c>
      <c r="C161" s="20" t="s">
        <v>95</v>
      </c>
      <c r="N161" s="20" t="str">
        <f>IF(OR(LEFT('Web Links'!$C161,2)="In",$C161="Error"),"?????",""&amp;C161)</f>
        <v>?????</v>
      </c>
      <c r="O161" s="20" t="str">
        <f>IF(OR(LEFT('Web Links'!$C161,2)="In",$C161="Error"),"??????????",""&amp;D161)</f>
        <v>??????????</v>
      </c>
      <c r="P161" s="20" t="str">
        <f>IF(OR(LEFT('Web Links'!$C161,2)="In",$C161="Error"),"???",IF(LEN(E161)=2,"0",IF(LEN(E161)=1,"00","")))&amp;'Web Links'!E161</f>
        <v>???</v>
      </c>
      <c r="Q161" s="20" t="str">
        <f>IF(OR(LEFT('Web Links'!$C161,2)="In",$C161="Error"),"?????",IF(LEN(G161)=4,"",IF(LEN(G161)=3,"",IF(LEN(G161)=2,"",IF(LEN(G161)=1,"",""))))&amp;'Web Links'!G161)</f>
        <v>?????</v>
      </c>
      <c r="R161" s="20" t="str">
        <f>IF(OR(LEFT('Web Links'!$C161,2)="In",$C161="Error"),"???????????????",""&amp;F161)</f>
        <v>???????????????</v>
      </c>
    </row>
    <row r="162" spans="1:18" x14ac:dyDescent="0.2">
      <c r="A162" s="20">
        <f>IF('GL Template'!B176&lt;&gt;"",'GL Template'!B176,0)</f>
        <v>0</v>
      </c>
      <c r="B162" s="20">
        <f>IF('GL Template'!D176&lt;&gt;"",'GL Template'!D176,0)</f>
        <v>0</v>
      </c>
      <c r="C162" s="20" t="s">
        <v>95</v>
      </c>
      <c r="N162" s="20" t="str">
        <f>IF(OR(LEFT('Web Links'!$C162,2)="In",$C162="Error"),"?????",""&amp;C162)</f>
        <v>?????</v>
      </c>
      <c r="O162" s="20" t="str">
        <f>IF(OR(LEFT('Web Links'!$C162,2)="In",$C162="Error"),"??????????",""&amp;D162)</f>
        <v>??????????</v>
      </c>
      <c r="P162" s="20" t="str">
        <f>IF(OR(LEFT('Web Links'!$C162,2)="In",$C162="Error"),"???",IF(LEN(E162)=2,"0",IF(LEN(E162)=1,"00","")))&amp;'Web Links'!E162</f>
        <v>???</v>
      </c>
      <c r="Q162" s="20" t="str">
        <f>IF(OR(LEFT('Web Links'!$C162,2)="In",$C162="Error"),"?????",IF(LEN(G162)=4,"",IF(LEN(G162)=3,"",IF(LEN(G162)=2,"",IF(LEN(G162)=1,"",""))))&amp;'Web Links'!G162)</f>
        <v>?????</v>
      </c>
      <c r="R162" s="20" t="str">
        <f>IF(OR(LEFT('Web Links'!$C162,2)="In",$C162="Error"),"???????????????",""&amp;F162)</f>
        <v>???????????????</v>
      </c>
    </row>
    <row r="163" spans="1:18" x14ac:dyDescent="0.2">
      <c r="A163" s="20">
        <f>IF('GL Template'!B177&lt;&gt;"",'GL Template'!B177,0)</f>
        <v>0</v>
      </c>
      <c r="B163" s="20">
        <f>IF('GL Template'!D177&lt;&gt;"",'GL Template'!D177,0)</f>
        <v>0</v>
      </c>
      <c r="C163" s="20" t="s">
        <v>95</v>
      </c>
      <c r="N163" s="20" t="str">
        <f>IF(OR(LEFT('Web Links'!$C163,2)="In",$C163="Error"),"?????",""&amp;C163)</f>
        <v>?????</v>
      </c>
      <c r="O163" s="20" t="str">
        <f>IF(OR(LEFT('Web Links'!$C163,2)="In",$C163="Error"),"??????????",""&amp;D163)</f>
        <v>??????????</v>
      </c>
      <c r="P163" s="20" t="str">
        <f>IF(OR(LEFT('Web Links'!$C163,2)="In",$C163="Error"),"???",IF(LEN(E163)=2,"0",IF(LEN(E163)=1,"00","")))&amp;'Web Links'!E163</f>
        <v>???</v>
      </c>
      <c r="Q163" s="20" t="str">
        <f>IF(OR(LEFT('Web Links'!$C163,2)="In",$C163="Error"),"?????",IF(LEN(G163)=4,"",IF(LEN(G163)=3,"",IF(LEN(G163)=2,"",IF(LEN(G163)=1,"",""))))&amp;'Web Links'!G163)</f>
        <v>?????</v>
      </c>
      <c r="R163" s="20" t="str">
        <f>IF(OR(LEFT('Web Links'!$C163,2)="In",$C163="Error"),"???????????????",""&amp;F163)</f>
        <v>???????????????</v>
      </c>
    </row>
    <row r="164" spans="1:18" x14ac:dyDescent="0.2">
      <c r="A164" s="20">
        <f>IF('GL Template'!B178&lt;&gt;"",'GL Template'!B178,0)</f>
        <v>0</v>
      </c>
      <c r="B164" s="20">
        <f>IF('GL Template'!D178&lt;&gt;"",'GL Template'!D178,0)</f>
        <v>0</v>
      </c>
      <c r="C164" s="20" t="s">
        <v>95</v>
      </c>
      <c r="N164" s="20" t="str">
        <f>IF(OR(LEFT('Web Links'!$C164,2)="In",$C164="Error"),"?????",""&amp;C164)</f>
        <v>?????</v>
      </c>
      <c r="O164" s="20" t="str">
        <f>IF(OR(LEFT('Web Links'!$C164,2)="In",$C164="Error"),"??????????",""&amp;D164)</f>
        <v>??????????</v>
      </c>
      <c r="P164" s="20" t="str">
        <f>IF(OR(LEFT('Web Links'!$C164,2)="In",$C164="Error"),"???",IF(LEN(E164)=2,"0",IF(LEN(E164)=1,"00","")))&amp;'Web Links'!E164</f>
        <v>???</v>
      </c>
      <c r="Q164" s="20" t="str">
        <f>IF(OR(LEFT('Web Links'!$C164,2)="In",$C164="Error"),"?????",IF(LEN(G164)=4,"",IF(LEN(G164)=3,"",IF(LEN(G164)=2,"",IF(LEN(G164)=1,"",""))))&amp;'Web Links'!G164)</f>
        <v>?????</v>
      </c>
      <c r="R164" s="20" t="str">
        <f>IF(OR(LEFT('Web Links'!$C164,2)="In",$C164="Error"),"???????????????",""&amp;F164)</f>
        <v>???????????????</v>
      </c>
    </row>
    <row r="165" spans="1:18" x14ac:dyDescent="0.2">
      <c r="A165" s="20">
        <f>IF('GL Template'!B179&lt;&gt;"",'GL Template'!B179,0)</f>
        <v>0</v>
      </c>
      <c r="B165" s="20">
        <f>IF('GL Template'!D179&lt;&gt;"",'GL Template'!D179,0)</f>
        <v>0</v>
      </c>
      <c r="C165" s="20" t="s">
        <v>95</v>
      </c>
      <c r="N165" s="20" t="str">
        <f>IF(OR(LEFT('Web Links'!$C165,2)="In",$C165="Error"),"?????",""&amp;C165)</f>
        <v>?????</v>
      </c>
      <c r="O165" s="20" t="str">
        <f>IF(OR(LEFT('Web Links'!$C165,2)="In",$C165="Error"),"??????????",""&amp;D165)</f>
        <v>??????????</v>
      </c>
      <c r="P165" s="20" t="str">
        <f>IF(OR(LEFT('Web Links'!$C165,2)="In",$C165="Error"),"???",IF(LEN(E165)=2,"0",IF(LEN(E165)=1,"00","")))&amp;'Web Links'!E165</f>
        <v>???</v>
      </c>
      <c r="Q165" s="20" t="str">
        <f>IF(OR(LEFT('Web Links'!$C165,2)="In",$C165="Error"),"?????",IF(LEN(G165)=4,"",IF(LEN(G165)=3,"",IF(LEN(G165)=2,"",IF(LEN(G165)=1,"",""))))&amp;'Web Links'!G165)</f>
        <v>?????</v>
      </c>
      <c r="R165" s="20" t="str">
        <f>IF(OR(LEFT('Web Links'!$C165,2)="In",$C165="Error"),"???????????????",""&amp;F165)</f>
        <v>???????????????</v>
      </c>
    </row>
    <row r="166" spans="1:18" x14ac:dyDescent="0.2">
      <c r="A166" s="20">
        <f>IF('GL Template'!B180&lt;&gt;"",'GL Template'!B180,0)</f>
        <v>0</v>
      </c>
      <c r="B166" s="20">
        <f>IF('GL Template'!D180&lt;&gt;"",'GL Template'!D180,0)</f>
        <v>0</v>
      </c>
      <c r="C166" s="20" t="s">
        <v>95</v>
      </c>
      <c r="N166" s="20" t="str">
        <f>IF(OR(LEFT('Web Links'!$C166,2)="In",$C166="Error"),"?????",""&amp;C166)</f>
        <v>?????</v>
      </c>
      <c r="O166" s="20" t="str">
        <f>IF(OR(LEFT('Web Links'!$C166,2)="In",$C166="Error"),"??????????",""&amp;D166)</f>
        <v>??????????</v>
      </c>
      <c r="P166" s="20" t="str">
        <f>IF(OR(LEFT('Web Links'!$C166,2)="In",$C166="Error"),"???",IF(LEN(E166)=2,"0",IF(LEN(E166)=1,"00","")))&amp;'Web Links'!E166</f>
        <v>???</v>
      </c>
      <c r="Q166" s="20" t="str">
        <f>IF(OR(LEFT('Web Links'!$C166,2)="In",$C166="Error"),"?????",IF(LEN(G166)=4,"",IF(LEN(G166)=3,"",IF(LEN(G166)=2,"",IF(LEN(G166)=1,"",""))))&amp;'Web Links'!G166)</f>
        <v>?????</v>
      </c>
      <c r="R166" s="20" t="str">
        <f>IF(OR(LEFT('Web Links'!$C166,2)="In",$C166="Error"),"???????????????",""&amp;F166)</f>
        <v>???????????????</v>
      </c>
    </row>
    <row r="167" spans="1:18" x14ac:dyDescent="0.2">
      <c r="A167" s="20">
        <f>IF('GL Template'!B181&lt;&gt;"",'GL Template'!B181,0)</f>
        <v>0</v>
      </c>
      <c r="B167" s="20">
        <f>IF('GL Template'!D181&lt;&gt;"",'GL Template'!D181,0)</f>
        <v>0</v>
      </c>
      <c r="C167" s="20" t="s">
        <v>95</v>
      </c>
      <c r="N167" s="20" t="str">
        <f>IF(OR(LEFT('Web Links'!$C167,2)="In",$C167="Error"),"?????",""&amp;C167)</f>
        <v>?????</v>
      </c>
      <c r="O167" s="20" t="str">
        <f>IF(OR(LEFT('Web Links'!$C167,2)="In",$C167="Error"),"??????????",""&amp;D167)</f>
        <v>??????????</v>
      </c>
      <c r="P167" s="20" t="str">
        <f>IF(OR(LEFT('Web Links'!$C167,2)="In",$C167="Error"),"???",IF(LEN(E167)=2,"0",IF(LEN(E167)=1,"00","")))&amp;'Web Links'!E167</f>
        <v>???</v>
      </c>
      <c r="Q167" s="20" t="str">
        <f>IF(OR(LEFT('Web Links'!$C167,2)="In",$C167="Error"),"?????",IF(LEN(G167)=4,"",IF(LEN(G167)=3,"",IF(LEN(G167)=2,"",IF(LEN(G167)=1,"",""))))&amp;'Web Links'!G167)</f>
        <v>?????</v>
      </c>
      <c r="R167" s="20" t="str">
        <f>IF(OR(LEFT('Web Links'!$C167,2)="In",$C167="Error"),"???????????????",""&amp;F167)</f>
        <v>???????????????</v>
      </c>
    </row>
    <row r="168" spans="1:18" x14ac:dyDescent="0.2">
      <c r="A168" s="20">
        <f>IF('GL Template'!B182&lt;&gt;"",'GL Template'!B182,0)</f>
        <v>0</v>
      </c>
      <c r="B168" s="20">
        <f>IF('GL Template'!D182&lt;&gt;"",'GL Template'!D182,0)</f>
        <v>0</v>
      </c>
      <c r="C168" s="20" t="s">
        <v>95</v>
      </c>
      <c r="N168" s="20" t="str">
        <f>IF(OR(LEFT('Web Links'!$C168,2)="In",$C168="Error"),"?????",""&amp;C168)</f>
        <v>?????</v>
      </c>
      <c r="O168" s="20" t="str">
        <f>IF(OR(LEFT('Web Links'!$C168,2)="In",$C168="Error"),"??????????",""&amp;D168)</f>
        <v>??????????</v>
      </c>
      <c r="P168" s="20" t="str">
        <f>IF(OR(LEFT('Web Links'!$C168,2)="In",$C168="Error"),"???",IF(LEN(E168)=2,"0",IF(LEN(E168)=1,"00","")))&amp;'Web Links'!E168</f>
        <v>???</v>
      </c>
      <c r="Q168" s="20" t="str">
        <f>IF(OR(LEFT('Web Links'!$C168,2)="In",$C168="Error"),"?????",IF(LEN(G168)=4,"",IF(LEN(G168)=3,"",IF(LEN(G168)=2,"",IF(LEN(G168)=1,"",""))))&amp;'Web Links'!G168)</f>
        <v>?????</v>
      </c>
      <c r="R168" s="20" t="str">
        <f>IF(OR(LEFT('Web Links'!$C168,2)="In",$C168="Error"),"???????????????",""&amp;F168)</f>
        <v>???????????????</v>
      </c>
    </row>
    <row r="169" spans="1:18" x14ac:dyDescent="0.2">
      <c r="A169" s="20">
        <f>IF('GL Template'!B183&lt;&gt;"",'GL Template'!B183,0)</f>
        <v>0</v>
      </c>
      <c r="B169" s="20">
        <f>IF('GL Template'!D183&lt;&gt;"",'GL Template'!D183,0)</f>
        <v>0</v>
      </c>
      <c r="C169" s="20" t="s">
        <v>95</v>
      </c>
      <c r="N169" s="20" t="str">
        <f>IF(OR(LEFT('Web Links'!$C169,2)="In",$C169="Error"),"?????",""&amp;C169)</f>
        <v>?????</v>
      </c>
      <c r="O169" s="20" t="str">
        <f>IF(OR(LEFT('Web Links'!$C169,2)="In",$C169="Error"),"??????????",""&amp;D169)</f>
        <v>??????????</v>
      </c>
      <c r="P169" s="20" t="str">
        <f>IF(OR(LEFT('Web Links'!$C169,2)="In",$C169="Error"),"???",IF(LEN(E169)=2,"0",IF(LEN(E169)=1,"00","")))&amp;'Web Links'!E169</f>
        <v>???</v>
      </c>
      <c r="Q169" s="20" t="str">
        <f>IF(OR(LEFT('Web Links'!$C169,2)="In",$C169="Error"),"?????",IF(LEN(G169)=4,"",IF(LEN(G169)=3,"",IF(LEN(G169)=2,"",IF(LEN(G169)=1,"",""))))&amp;'Web Links'!G169)</f>
        <v>?????</v>
      </c>
      <c r="R169" s="20" t="str">
        <f>IF(OR(LEFT('Web Links'!$C169,2)="In",$C169="Error"),"???????????????",""&amp;F169)</f>
        <v>???????????????</v>
      </c>
    </row>
    <row r="170" spans="1:18" x14ac:dyDescent="0.2">
      <c r="A170" s="20">
        <f>IF('GL Template'!B184&lt;&gt;"",'GL Template'!B184,0)</f>
        <v>0</v>
      </c>
      <c r="B170" s="20">
        <f>IF('GL Template'!D184&lt;&gt;"",'GL Template'!D184,0)</f>
        <v>0</v>
      </c>
      <c r="C170" s="20" t="s">
        <v>95</v>
      </c>
      <c r="N170" s="20" t="str">
        <f>IF(OR(LEFT('Web Links'!$C170,2)="In",$C170="Error"),"?????",""&amp;C170)</f>
        <v>?????</v>
      </c>
      <c r="O170" s="20" t="str">
        <f>IF(OR(LEFT('Web Links'!$C170,2)="In",$C170="Error"),"??????????",""&amp;D170)</f>
        <v>??????????</v>
      </c>
      <c r="P170" s="20" t="str">
        <f>IF(OR(LEFT('Web Links'!$C170,2)="In",$C170="Error"),"???",IF(LEN(E170)=2,"0",IF(LEN(E170)=1,"00","")))&amp;'Web Links'!E170</f>
        <v>???</v>
      </c>
      <c r="Q170" s="20" t="str">
        <f>IF(OR(LEFT('Web Links'!$C170,2)="In",$C170="Error"),"?????",IF(LEN(G170)=4,"",IF(LEN(G170)=3,"",IF(LEN(G170)=2,"",IF(LEN(G170)=1,"",""))))&amp;'Web Links'!G170)</f>
        <v>?????</v>
      </c>
      <c r="R170" s="20" t="str">
        <f>IF(OR(LEFT('Web Links'!$C170,2)="In",$C170="Error"),"???????????????",""&amp;F170)</f>
        <v>???????????????</v>
      </c>
    </row>
    <row r="171" spans="1:18" x14ac:dyDescent="0.2">
      <c r="A171" s="20">
        <f>IF('GL Template'!B185&lt;&gt;"",'GL Template'!B185,0)</f>
        <v>0</v>
      </c>
      <c r="B171" s="20">
        <f>IF('GL Template'!D185&lt;&gt;"",'GL Template'!D185,0)</f>
        <v>0</v>
      </c>
      <c r="C171" s="20" t="s">
        <v>95</v>
      </c>
      <c r="N171" s="20" t="str">
        <f>IF(OR(LEFT('Web Links'!$C171,2)="In",$C171="Error"),"?????",""&amp;C171)</f>
        <v>?????</v>
      </c>
      <c r="O171" s="20" t="str">
        <f>IF(OR(LEFT('Web Links'!$C171,2)="In",$C171="Error"),"??????????",""&amp;D171)</f>
        <v>??????????</v>
      </c>
      <c r="P171" s="20" t="str">
        <f>IF(OR(LEFT('Web Links'!$C171,2)="In",$C171="Error"),"???",IF(LEN(E171)=2,"0",IF(LEN(E171)=1,"00","")))&amp;'Web Links'!E171</f>
        <v>???</v>
      </c>
      <c r="Q171" s="20" t="str">
        <f>IF(OR(LEFT('Web Links'!$C171,2)="In",$C171="Error"),"?????",IF(LEN(G171)=4,"",IF(LEN(G171)=3,"",IF(LEN(G171)=2,"",IF(LEN(G171)=1,"",""))))&amp;'Web Links'!G171)</f>
        <v>?????</v>
      </c>
      <c r="R171" s="20" t="str">
        <f>IF(OR(LEFT('Web Links'!$C171,2)="In",$C171="Error"),"???????????????",""&amp;F171)</f>
        <v>???????????????</v>
      </c>
    </row>
    <row r="172" spans="1:18" x14ac:dyDescent="0.2">
      <c r="A172" s="20">
        <f>IF('GL Template'!B186&lt;&gt;"",'GL Template'!B186,0)</f>
        <v>0</v>
      </c>
      <c r="B172" s="20">
        <f>IF('GL Template'!D186&lt;&gt;"",'GL Template'!D186,0)</f>
        <v>0</v>
      </c>
      <c r="C172" s="20" t="s">
        <v>95</v>
      </c>
      <c r="N172" s="20" t="str">
        <f>IF(OR(LEFT('Web Links'!$C172,2)="In",$C172="Error"),"?????",""&amp;C172)</f>
        <v>?????</v>
      </c>
      <c r="O172" s="20" t="str">
        <f>IF(OR(LEFT('Web Links'!$C172,2)="In",$C172="Error"),"??????????",""&amp;D172)</f>
        <v>??????????</v>
      </c>
      <c r="P172" s="20" t="str">
        <f>IF(OR(LEFT('Web Links'!$C172,2)="In",$C172="Error"),"???",IF(LEN(E172)=2,"0",IF(LEN(E172)=1,"00","")))&amp;'Web Links'!E172</f>
        <v>???</v>
      </c>
      <c r="Q172" s="20" t="str">
        <f>IF(OR(LEFT('Web Links'!$C172,2)="In",$C172="Error"),"?????",IF(LEN(G172)=4,"",IF(LEN(G172)=3,"",IF(LEN(G172)=2,"",IF(LEN(G172)=1,"",""))))&amp;'Web Links'!G172)</f>
        <v>?????</v>
      </c>
      <c r="R172" s="20" t="str">
        <f>IF(OR(LEFT('Web Links'!$C172,2)="In",$C172="Error"),"???????????????",""&amp;F172)</f>
        <v>???????????????</v>
      </c>
    </row>
    <row r="173" spans="1:18" x14ac:dyDescent="0.2">
      <c r="A173" s="20">
        <f>IF('GL Template'!B187&lt;&gt;"",'GL Template'!B187,0)</f>
        <v>0</v>
      </c>
      <c r="B173" s="20">
        <f>IF('GL Template'!D187&lt;&gt;"",'GL Template'!D187,0)</f>
        <v>0</v>
      </c>
      <c r="C173" s="20" t="s">
        <v>95</v>
      </c>
      <c r="N173" s="20" t="str">
        <f>IF(OR(LEFT('Web Links'!$C173,2)="In",$C173="Error"),"?????",""&amp;C173)</f>
        <v>?????</v>
      </c>
      <c r="O173" s="20" t="str">
        <f>IF(OR(LEFT('Web Links'!$C173,2)="In",$C173="Error"),"??????????",""&amp;D173)</f>
        <v>??????????</v>
      </c>
      <c r="P173" s="20" t="str">
        <f>IF(OR(LEFT('Web Links'!$C173,2)="In",$C173="Error"),"???",IF(LEN(E173)=2,"0",IF(LEN(E173)=1,"00","")))&amp;'Web Links'!E173</f>
        <v>???</v>
      </c>
      <c r="Q173" s="20" t="str">
        <f>IF(OR(LEFT('Web Links'!$C173,2)="In",$C173="Error"),"?????",IF(LEN(G173)=4,"",IF(LEN(G173)=3,"",IF(LEN(G173)=2,"",IF(LEN(G173)=1,"",""))))&amp;'Web Links'!G173)</f>
        <v>?????</v>
      </c>
      <c r="R173" s="20" t="str">
        <f>IF(OR(LEFT('Web Links'!$C173,2)="In",$C173="Error"),"???????????????",""&amp;F173)</f>
        <v>???????????????</v>
      </c>
    </row>
    <row r="174" spans="1:18" x14ac:dyDescent="0.2">
      <c r="A174" s="20">
        <f>IF('GL Template'!B188&lt;&gt;"",'GL Template'!B188,0)</f>
        <v>0</v>
      </c>
      <c r="B174" s="20">
        <f>IF('GL Template'!D188&lt;&gt;"",'GL Template'!D188,0)</f>
        <v>0</v>
      </c>
      <c r="C174" s="20" t="s">
        <v>95</v>
      </c>
      <c r="N174" s="20" t="str">
        <f>IF(OR(LEFT('Web Links'!$C174,2)="In",$C174="Error"),"?????",""&amp;C174)</f>
        <v>?????</v>
      </c>
      <c r="O174" s="20" t="str">
        <f>IF(OR(LEFT('Web Links'!$C174,2)="In",$C174="Error"),"??????????",""&amp;D174)</f>
        <v>??????????</v>
      </c>
      <c r="P174" s="20" t="str">
        <f>IF(OR(LEFT('Web Links'!$C174,2)="In",$C174="Error"),"???",IF(LEN(E174)=2,"0",IF(LEN(E174)=1,"00","")))&amp;'Web Links'!E174</f>
        <v>???</v>
      </c>
      <c r="Q174" s="20" t="str">
        <f>IF(OR(LEFT('Web Links'!$C174,2)="In",$C174="Error"),"?????",IF(LEN(G174)=4,"",IF(LEN(G174)=3,"",IF(LEN(G174)=2,"",IF(LEN(G174)=1,"",""))))&amp;'Web Links'!G174)</f>
        <v>?????</v>
      </c>
      <c r="R174" s="20" t="str">
        <f>IF(OR(LEFT('Web Links'!$C174,2)="In",$C174="Error"),"???????????????",""&amp;F174)</f>
        <v>???????????????</v>
      </c>
    </row>
    <row r="175" spans="1:18" x14ac:dyDescent="0.2">
      <c r="A175" s="20">
        <f>IF('GL Template'!B189&lt;&gt;"",'GL Template'!B189,0)</f>
        <v>0</v>
      </c>
      <c r="B175" s="20">
        <f>IF('GL Template'!D189&lt;&gt;"",'GL Template'!D189,0)</f>
        <v>0</v>
      </c>
      <c r="C175" s="20" t="s">
        <v>95</v>
      </c>
      <c r="N175" s="20" t="str">
        <f>IF(OR(LEFT('Web Links'!$C175,2)="In",$C175="Error"),"?????",""&amp;C175)</f>
        <v>?????</v>
      </c>
      <c r="O175" s="20" t="str">
        <f>IF(OR(LEFT('Web Links'!$C175,2)="In",$C175="Error"),"??????????",""&amp;D175)</f>
        <v>??????????</v>
      </c>
      <c r="P175" s="20" t="str">
        <f>IF(OR(LEFT('Web Links'!$C175,2)="In",$C175="Error"),"???",IF(LEN(E175)=2,"0",IF(LEN(E175)=1,"00","")))&amp;'Web Links'!E175</f>
        <v>???</v>
      </c>
      <c r="Q175" s="20" t="str">
        <f>IF(OR(LEFT('Web Links'!$C175,2)="In",$C175="Error"),"?????",IF(LEN(G175)=4,"",IF(LEN(G175)=3,"",IF(LEN(G175)=2,"",IF(LEN(G175)=1,"",""))))&amp;'Web Links'!G175)</f>
        <v>?????</v>
      </c>
      <c r="R175" s="20" t="str">
        <f>IF(OR(LEFT('Web Links'!$C175,2)="In",$C175="Error"),"???????????????",""&amp;F175)</f>
        <v>???????????????</v>
      </c>
    </row>
    <row r="176" spans="1:18" x14ac:dyDescent="0.2">
      <c r="A176" s="20">
        <f>IF('GL Template'!B190&lt;&gt;"",'GL Template'!B190,0)</f>
        <v>0</v>
      </c>
      <c r="B176" s="20">
        <f>IF('GL Template'!D190&lt;&gt;"",'GL Template'!D190,0)</f>
        <v>0</v>
      </c>
      <c r="C176" s="20" t="s">
        <v>95</v>
      </c>
      <c r="N176" s="20" t="str">
        <f>IF(OR(LEFT('Web Links'!$C176,2)="In",$C176="Error"),"?????",""&amp;C176)</f>
        <v>?????</v>
      </c>
      <c r="O176" s="20" t="str">
        <f>IF(OR(LEFT('Web Links'!$C176,2)="In",$C176="Error"),"??????????",""&amp;D176)</f>
        <v>??????????</v>
      </c>
      <c r="P176" s="20" t="str">
        <f>IF(OR(LEFT('Web Links'!$C176,2)="In",$C176="Error"),"???",IF(LEN(E176)=2,"0",IF(LEN(E176)=1,"00","")))&amp;'Web Links'!E176</f>
        <v>???</v>
      </c>
      <c r="Q176" s="20" t="str">
        <f>IF(OR(LEFT('Web Links'!$C176,2)="In",$C176="Error"),"?????",IF(LEN(G176)=4,"",IF(LEN(G176)=3,"",IF(LEN(G176)=2,"",IF(LEN(G176)=1,"",""))))&amp;'Web Links'!G176)</f>
        <v>?????</v>
      </c>
      <c r="R176" s="20" t="str">
        <f>IF(OR(LEFT('Web Links'!$C176,2)="In",$C176="Error"),"???????????????",""&amp;F176)</f>
        <v>???????????????</v>
      </c>
    </row>
    <row r="177" spans="1:18" x14ac:dyDescent="0.2">
      <c r="A177" s="20">
        <f>IF('GL Template'!B191&lt;&gt;"",'GL Template'!B191,0)</f>
        <v>0</v>
      </c>
      <c r="B177" s="20">
        <f>IF('GL Template'!D191&lt;&gt;"",'GL Template'!D191,0)</f>
        <v>0</v>
      </c>
      <c r="C177" s="20" t="s">
        <v>95</v>
      </c>
      <c r="N177" s="20" t="str">
        <f>IF(OR(LEFT('Web Links'!$C177,2)="In",$C177="Error"),"?????",""&amp;C177)</f>
        <v>?????</v>
      </c>
      <c r="O177" s="20" t="str">
        <f>IF(OR(LEFT('Web Links'!$C177,2)="In",$C177="Error"),"??????????",""&amp;D177)</f>
        <v>??????????</v>
      </c>
      <c r="P177" s="20" t="str">
        <f>IF(OR(LEFT('Web Links'!$C177,2)="In",$C177="Error"),"???",IF(LEN(E177)=2,"0",IF(LEN(E177)=1,"00","")))&amp;'Web Links'!E177</f>
        <v>???</v>
      </c>
      <c r="Q177" s="20" t="str">
        <f>IF(OR(LEFT('Web Links'!$C177,2)="In",$C177="Error"),"?????",IF(LEN(G177)=4,"",IF(LEN(G177)=3,"",IF(LEN(G177)=2,"",IF(LEN(G177)=1,"",""))))&amp;'Web Links'!G177)</f>
        <v>?????</v>
      </c>
      <c r="R177" s="20" t="str">
        <f>IF(OR(LEFT('Web Links'!$C177,2)="In",$C177="Error"),"???????????????",""&amp;F177)</f>
        <v>???????????????</v>
      </c>
    </row>
    <row r="178" spans="1:18" x14ac:dyDescent="0.2">
      <c r="A178" s="20">
        <f>IF('GL Template'!B192&lt;&gt;"",'GL Template'!B192,0)</f>
        <v>0</v>
      </c>
      <c r="B178" s="20">
        <f>IF('GL Template'!D192&lt;&gt;"",'GL Template'!D192,0)</f>
        <v>0</v>
      </c>
      <c r="C178" s="20" t="s">
        <v>95</v>
      </c>
      <c r="N178" s="20" t="str">
        <f>IF(OR(LEFT('Web Links'!$C178,2)="In",$C178="Error"),"?????",""&amp;C178)</f>
        <v>?????</v>
      </c>
      <c r="O178" s="20" t="str">
        <f>IF(OR(LEFT('Web Links'!$C178,2)="In",$C178="Error"),"??????????",""&amp;D178)</f>
        <v>??????????</v>
      </c>
      <c r="P178" s="20" t="str">
        <f>IF(OR(LEFT('Web Links'!$C178,2)="In",$C178="Error"),"???",IF(LEN(E178)=2,"0",IF(LEN(E178)=1,"00","")))&amp;'Web Links'!E178</f>
        <v>???</v>
      </c>
      <c r="Q178" s="20" t="str">
        <f>IF(OR(LEFT('Web Links'!$C178,2)="In",$C178="Error"),"?????",IF(LEN(G178)=4,"",IF(LEN(G178)=3,"",IF(LEN(G178)=2,"",IF(LEN(G178)=1,"",""))))&amp;'Web Links'!G178)</f>
        <v>?????</v>
      </c>
      <c r="R178" s="20" t="str">
        <f>IF(OR(LEFT('Web Links'!$C178,2)="In",$C178="Error"),"???????????????",""&amp;F178)</f>
        <v>???????????????</v>
      </c>
    </row>
    <row r="179" spans="1:18" x14ac:dyDescent="0.2">
      <c r="A179" s="20">
        <f>IF('GL Template'!B193&lt;&gt;"",'GL Template'!B193,0)</f>
        <v>0</v>
      </c>
      <c r="B179" s="20">
        <f>IF('GL Template'!D193&lt;&gt;"",'GL Template'!D193,0)</f>
        <v>0</v>
      </c>
      <c r="C179" s="20" t="s">
        <v>95</v>
      </c>
      <c r="N179" s="20" t="str">
        <f>IF(OR(LEFT('Web Links'!$C179,2)="In",$C179="Error"),"?????",""&amp;C179)</f>
        <v>?????</v>
      </c>
      <c r="O179" s="20" t="str">
        <f>IF(OR(LEFT('Web Links'!$C179,2)="In",$C179="Error"),"??????????",""&amp;D179)</f>
        <v>??????????</v>
      </c>
      <c r="P179" s="20" t="str">
        <f>IF(OR(LEFT('Web Links'!$C179,2)="In",$C179="Error"),"???",IF(LEN(E179)=2,"0",IF(LEN(E179)=1,"00","")))&amp;'Web Links'!E179</f>
        <v>???</v>
      </c>
      <c r="Q179" s="20" t="str">
        <f>IF(OR(LEFT('Web Links'!$C179,2)="In",$C179="Error"),"?????",IF(LEN(G179)=4,"",IF(LEN(G179)=3,"",IF(LEN(G179)=2,"",IF(LEN(G179)=1,"",""))))&amp;'Web Links'!G179)</f>
        <v>?????</v>
      </c>
      <c r="R179" s="20" t="str">
        <f>IF(OR(LEFT('Web Links'!$C179,2)="In",$C179="Error"),"???????????????",""&amp;F179)</f>
        <v>???????????????</v>
      </c>
    </row>
    <row r="180" spans="1:18" x14ac:dyDescent="0.2">
      <c r="A180" s="20">
        <f>IF('GL Template'!B194&lt;&gt;"",'GL Template'!B194,0)</f>
        <v>0</v>
      </c>
      <c r="B180" s="20">
        <f>IF('GL Template'!D194&lt;&gt;"",'GL Template'!D194,0)</f>
        <v>0</v>
      </c>
      <c r="C180" s="20" t="s">
        <v>95</v>
      </c>
      <c r="N180" s="20" t="str">
        <f>IF(OR(LEFT('Web Links'!$C180,2)="In",$C180="Error"),"?????",""&amp;C180)</f>
        <v>?????</v>
      </c>
      <c r="O180" s="20" t="str">
        <f>IF(OR(LEFT('Web Links'!$C180,2)="In",$C180="Error"),"??????????",""&amp;D180)</f>
        <v>??????????</v>
      </c>
      <c r="P180" s="20" t="str">
        <f>IF(OR(LEFT('Web Links'!$C180,2)="In",$C180="Error"),"???",IF(LEN(E180)=2,"0",IF(LEN(E180)=1,"00","")))&amp;'Web Links'!E180</f>
        <v>???</v>
      </c>
      <c r="Q180" s="20" t="str">
        <f>IF(OR(LEFT('Web Links'!$C180,2)="In",$C180="Error"),"?????",IF(LEN(G180)=4,"",IF(LEN(G180)=3,"",IF(LEN(G180)=2,"",IF(LEN(G180)=1,"",""))))&amp;'Web Links'!G180)</f>
        <v>?????</v>
      </c>
      <c r="R180" s="20" t="str">
        <f>IF(OR(LEFT('Web Links'!$C180,2)="In",$C180="Error"),"???????????????",""&amp;F180)</f>
        <v>???????????????</v>
      </c>
    </row>
    <row r="181" spans="1:18" x14ac:dyDescent="0.2">
      <c r="A181" s="20">
        <f>IF('GL Template'!B195&lt;&gt;"",'GL Template'!B195,0)</f>
        <v>0</v>
      </c>
      <c r="B181" s="20">
        <f>IF('GL Template'!D195&lt;&gt;"",'GL Template'!D195,0)</f>
        <v>0</v>
      </c>
      <c r="C181" s="20" t="s">
        <v>95</v>
      </c>
      <c r="N181" s="20" t="str">
        <f>IF(OR(LEFT('Web Links'!$C181,2)="In",$C181="Error"),"?????",""&amp;C181)</f>
        <v>?????</v>
      </c>
      <c r="O181" s="20" t="str">
        <f>IF(OR(LEFT('Web Links'!$C181,2)="In",$C181="Error"),"??????????",""&amp;D181)</f>
        <v>??????????</v>
      </c>
      <c r="P181" s="20" t="str">
        <f>IF(OR(LEFT('Web Links'!$C181,2)="In",$C181="Error"),"???",IF(LEN(E181)=2,"0",IF(LEN(E181)=1,"00","")))&amp;'Web Links'!E181</f>
        <v>???</v>
      </c>
      <c r="Q181" s="20" t="str">
        <f>IF(OR(LEFT('Web Links'!$C181,2)="In",$C181="Error"),"?????",IF(LEN(G181)=4,"",IF(LEN(G181)=3,"",IF(LEN(G181)=2,"",IF(LEN(G181)=1,"",""))))&amp;'Web Links'!G181)</f>
        <v>?????</v>
      </c>
      <c r="R181" s="20" t="str">
        <f>IF(OR(LEFT('Web Links'!$C181,2)="In",$C181="Error"),"???????????????",""&amp;F181)</f>
        <v>???????????????</v>
      </c>
    </row>
    <row r="182" spans="1:18" x14ac:dyDescent="0.2">
      <c r="A182" s="20">
        <f>IF('GL Template'!B196&lt;&gt;"",'GL Template'!B196,0)</f>
        <v>0</v>
      </c>
      <c r="B182" s="20">
        <f>IF('GL Template'!D196&lt;&gt;"",'GL Template'!D196,0)</f>
        <v>0</v>
      </c>
      <c r="C182" s="20" t="s">
        <v>95</v>
      </c>
      <c r="N182" s="20" t="str">
        <f>IF(OR(LEFT('Web Links'!$C182,2)="In",$C182="Error"),"?????",""&amp;C182)</f>
        <v>?????</v>
      </c>
      <c r="O182" s="20" t="str">
        <f>IF(OR(LEFT('Web Links'!$C182,2)="In",$C182="Error"),"??????????",""&amp;D182)</f>
        <v>??????????</v>
      </c>
      <c r="P182" s="20" t="str">
        <f>IF(OR(LEFT('Web Links'!$C182,2)="In",$C182="Error"),"???",IF(LEN(E182)=2,"0",IF(LEN(E182)=1,"00","")))&amp;'Web Links'!E182</f>
        <v>???</v>
      </c>
      <c r="Q182" s="20" t="str">
        <f>IF(OR(LEFT('Web Links'!$C182,2)="In",$C182="Error"),"?????",IF(LEN(G182)=4,"",IF(LEN(G182)=3,"",IF(LEN(G182)=2,"",IF(LEN(G182)=1,"",""))))&amp;'Web Links'!G182)</f>
        <v>?????</v>
      </c>
      <c r="R182" s="20" t="str">
        <f>IF(OR(LEFT('Web Links'!$C182,2)="In",$C182="Error"),"???????????????",""&amp;F182)</f>
        <v>???????????????</v>
      </c>
    </row>
    <row r="183" spans="1:18" x14ac:dyDescent="0.2">
      <c r="A183" s="20">
        <f>IF('GL Template'!B197&lt;&gt;"",'GL Template'!B197,0)</f>
        <v>0</v>
      </c>
      <c r="B183" s="20">
        <f>IF('GL Template'!D197&lt;&gt;"",'GL Template'!D197,0)</f>
        <v>0</v>
      </c>
      <c r="C183" s="20" t="s">
        <v>95</v>
      </c>
      <c r="N183" s="20" t="str">
        <f>IF(OR(LEFT('Web Links'!$C183,2)="In",$C183="Error"),"?????",""&amp;C183)</f>
        <v>?????</v>
      </c>
      <c r="O183" s="20" t="str">
        <f>IF(OR(LEFT('Web Links'!$C183,2)="In",$C183="Error"),"??????????",""&amp;D183)</f>
        <v>??????????</v>
      </c>
      <c r="P183" s="20" t="str">
        <f>IF(OR(LEFT('Web Links'!$C183,2)="In",$C183="Error"),"???",IF(LEN(E183)=2,"0",IF(LEN(E183)=1,"00","")))&amp;'Web Links'!E183</f>
        <v>???</v>
      </c>
      <c r="Q183" s="20" t="str">
        <f>IF(OR(LEFT('Web Links'!$C183,2)="In",$C183="Error"),"?????",IF(LEN(G183)=4,"",IF(LEN(G183)=3,"",IF(LEN(G183)=2,"",IF(LEN(G183)=1,"",""))))&amp;'Web Links'!G183)</f>
        <v>?????</v>
      </c>
      <c r="R183" s="20" t="str">
        <f>IF(OR(LEFT('Web Links'!$C183,2)="In",$C183="Error"),"???????????????",""&amp;F183)</f>
        <v>???????????????</v>
      </c>
    </row>
    <row r="184" spans="1:18" x14ac:dyDescent="0.2">
      <c r="A184" s="20">
        <f>IF('GL Template'!B198&lt;&gt;"",'GL Template'!B198,0)</f>
        <v>0</v>
      </c>
      <c r="B184" s="20">
        <f>IF('GL Template'!D198&lt;&gt;"",'GL Template'!D198,0)</f>
        <v>0</v>
      </c>
      <c r="C184" s="20" t="s">
        <v>95</v>
      </c>
      <c r="N184" s="20" t="str">
        <f>IF(OR(LEFT('Web Links'!$C184,2)="In",$C184="Error"),"?????",""&amp;C184)</f>
        <v>?????</v>
      </c>
      <c r="O184" s="20" t="str">
        <f>IF(OR(LEFT('Web Links'!$C184,2)="In",$C184="Error"),"??????????",""&amp;D184)</f>
        <v>??????????</v>
      </c>
      <c r="P184" s="20" t="str">
        <f>IF(OR(LEFT('Web Links'!$C184,2)="In",$C184="Error"),"???",IF(LEN(E184)=2,"0",IF(LEN(E184)=1,"00","")))&amp;'Web Links'!E184</f>
        <v>???</v>
      </c>
      <c r="Q184" s="20" t="str">
        <f>IF(OR(LEFT('Web Links'!$C184,2)="In",$C184="Error"),"?????",IF(LEN(G184)=4,"",IF(LEN(G184)=3,"",IF(LEN(G184)=2,"",IF(LEN(G184)=1,"",""))))&amp;'Web Links'!G184)</f>
        <v>?????</v>
      </c>
      <c r="R184" s="20" t="str">
        <f>IF(OR(LEFT('Web Links'!$C184,2)="In",$C184="Error"),"???????????????",""&amp;F184)</f>
        <v>???????????????</v>
      </c>
    </row>
    <row r="185" spans="1:18" x14ac:dyDescent="0.2">
      <c r="A185" s="20">
        <f>IF('GL Template'!B199&lt;&gt;"",'GL Template'!B199,0)</f>
        <v>0</v>
      </c>
      <c r="B185" s="20">
        <f>IF('GL Template'!D199&lt;&gt;"",'GL Template'!D199,0)</f>
        <v>0</v>
      </c>
      <c r="C185" s="20" t="s">
        <v>95</v>
      </c>
      <c r="N185" s="20" t="str">
        <f>IF(OR(LEFT('Web Links'!$C185,2)="In",$C185="Error"),"?????",""&amp;C185)</f>
        <v>?????</v>
      </c>
      <c r="O185" s="20" t="str">
        <f>IF(OR(LEFT('Web Links'!$C185,2)="In",$C185="Error"),"??????????",""&amp;D185)</f>
        <v>??????????</v>
      </c>
      <c r="P185" s="20" t="str">
        <f>IF(OR(LEFT('Web Links'!$C185,2)="In",$C185="Error"),"???",IF(LEN(E185)=2,"0",IF(LEN(E185)=1,"00","")))&amp;'Web Links'!E185</f>
        <v>???</v>
      </c>
      <c r="Q185" s="20" t="str">
        <f>IF(OR(LEFT('Web Links'!$C185,2)="In",$C185="Error"),"?????",IF(LEN(G185)=4,"",IF(LEN(G185)=3,"",IF(LEN(G185)=2,"",IF(LEN(G185)=1,"",""))))&amp;'Web Links'!G185)</f>
        <v>?????</v>
      </c>
      <c r="R185" s="20" t="str">
        <f>IF(OR(LEFT('Web Links'!$C185,2)="In",$C185="Error"),"???????????????",""&amp;F185)</f>
        <v>???????????????</v>
      </c>
    </row>
    <row r="186" spans="1:18" x14ac:dyDescent="0.2">
      <c r="A186" s="20">
        <f>IF('GL Template'!B200&lt;&gt;"",'GL Template'!B200,0)</f>
        <v>0</v>
      </c>
      <c r="B186" s="20">
        <f>IF('GL Template'!D200&lt;&gt;"",'GL Template'!D200,0)</f>
        <v>0</v>
      </c>
      <c r="C186" s="20" t="s">
        <v>95</v>
      </c>
      <c r="N186" s="20" t="str">
        <f>IF(OR(LEFT('Web Links'!$C186,2)="In",$C186="Error"),"?????",""&amp;C186)</f>
        <v>?????</v>
      </c>
      <c r="O186" s="20" t="str">
        <f>IF(OR(LEFT('Web Links'!$C186,2)="In",$C186="Error"),"??????????",""&amp;D186)</f>
        <v>??????????</v>
      </c>
      <c r="P186" s="20" t="str">
        <f>IF(OR(LEFT('Web Links'!$C186,2)="In",$C186="Error"),"???",IF(LEN(E186)=2,"0",IF(LEN(E186)=1,"00","")))&amp;'Web Links'!E186</f>
        <v>???</v>
      </c>
      <c r="Q186" s="20" t="str">
        <f>IF(OR(LEFT('Web Links'!$C186,2)="In",$C186="Error"),"?????",IF(LEN(G186)=4,"",IF(LEN(G186)=3,"",IF(LEN(G186)=2,"",IF(LEN(G186)=1,"",""))))&amp;'Web Links'!G186)</f>
        <v>?????</v>
      </c>
      <c r="R186" s="20" t="str">
        <f>IF(OR(LEFT('Web Links'!$C186,2)="In",$C186="Error"),"???????????????",""&amp;F186)</f>
        <v>???????????????</v>
      </c>
    </row>
    <row r="187" spans="1:18" x14ac:dyDescent="0.2">
      <c r="A187" s="20">
        <f>IF('GL Template'!B201&lt;&gt;"",'GL Template'!B201,0)</f>
        <v>0</v>
      </c>
      <c r="B187" s="20">
        <f>IF('GL Template'!D201&lt;&gt;"",'GL Template'!D201,0)</f>
        <v>0</v>
      </c>
      <c r="C187" s="20" t="s">
        <v>95</v>
      </c>
      <c r="N187" s="20" t="str">
        <f>IF(OR(LEFT('Web Links'!$C187,2)="In",$C187="Error"),"?????",""&amp;C187)</f>
        <v>?????</v>
      </c>
      <c r="O187" s="20" t="str">
        <f>IF(OR(LEFT('Web Links'!$C187,2)="In",$C187="Error"),"??????????",""&amp;D187)</f>
        <v>??????????</v>
      </c>
      <c r="P187" s="20" t="str">
        <f>IF(OR(LEFT('Web Links'!$C187,2)="In",$C187="Error"),"???",IF(LEN(E187)=2,"0",IF(LEN(E187)=1,"00","")))&amp;'Web Links'!E187</f>
        <v>???</v>
      </c>
      <c r="Q187" s="20" t="str">
        <f>IF(OR(LEFT('Web Links'!$C187,2)="In",$C187="Error"),"?????",IF(LEN(G187)=4,"",IF(LEN(G187)=3,"",IF(LEN(G187)=2,"",IF(LEN(G187)=1,"",""))))&amp;'Web Links'!G187)</f>
        <v>?????</v>
      </c>
      <c r="R187" s="20" t="str">
        <f>IF(OR(LEFT('Web Links'!$C187,2)="In",$C187="Error"),"???????????????",""&amp;F187)</f>
        <v>???????????????</v>
      </c>
    </row>
    <row r="188" spans="1:18" x14ac:dyDescent="0.2">
      <c r="A188" s="20">
        <f>IF('GL Template'!B202&lt;&gt;"",'GL Template'!B202,0)</f>
        <v>0</v>
      </c>
      <c r="B188" s="20">
        <f>IF('GL Template'!D202&lt;&gt;"",'GL Template'!D202,0)</f>
        <v>0</v>
      </c>
      <c r="C188" s="20" t="s">
        <v>95</v>
      </c>
      <c r="N188" s="20" t="str">
        <f>IF(OR(LEFT('Web Links'!$C188,2)="In",$C188="Error"),"?????",""&amp;C188)</f>
        <v>?????</v>
      </c>
      <c r="O188" s="20" t="str">
        <f>IF(OR(LEFT('Web Links'!$C188,2)="In",$C188="Error"),"??????????",""&amp;D188)</f>
        <v>??????????</v>
      </c>
      <c r="P188" s="20" t="str">
        <f>IF(OR(LEFT('Web Links'!$C188,2)="In",$C188="Error"),"???",IF(LEN(E188)=2,"0",IF(LEN(E188)=1,"00","")))&amp;'Web Links'!E188</f>
        <v>???</v>
      </c>
      <c r="Q188" s="20" t="str">
        <f>IF(OR(LEFT('Web Links'!$C188,2)="In",$C188="Error"),"?????",IF(LEN(G188)=4,"",IF(LEN(G188)=3,"",IF(LEN(G188)=2,"",IF(LEN(G188)=1,"",""))))&amp;'Web Links'!G188)</f>
        <v>?????</v>
      </c>
      <c r="R188" s="20" t="str">
        <f>IF(OR(LEFT('Web Links'!$C188,2)="In",$C188="Error"),"???????????????",""&amp;F188)</f>
        <v>???????????????</v>
      </c>
    </row>
    <row r="189" spans="1:18" x14ac:dyDescent="0.2">
      <c r="A189" s="20">
        <f>IF('GL Template'!B203&lt;&gt;"",'GL Template'!B203,0)</f>
        <v>0</v>
      </c>
      <c r="B189" s="20">
        <f>IF('GL Template'!D203&lt;&gt;"",'GL Template'!D203,0)</f>
        <v>0</v>
      </c>
      <c r="C189" s="20" t="s">
        <v>95</v>
      </c>
      <c r="N189" s="20" t="str">
        <f>IF(OR(LEFT('Web Links'!$C189,2)="In",$C189="Error"),"?????",""&amp;C189)</f>
        <v>?????</v>
      </c>
      <c r="O189" s="20" t="str">
        <f>IF(OR(LEFT('Web Links'!$C189,2)="In",$C189="Error"),"??????????",""&amp;D189)</f>
        <v>??????????</v>
      </c>
      <c r="P189" s="20" t="str">
        <f>IF(OR(LEFT('Web Links'!$C189,2)="In",$C189="Error"),"???",IF(LEN(E189)=2,"0",IF(LEN(E189)=1,"00","")))&amp;'Web Links'!E189</f>
        <v>???</v>
      </c>
      <c r="Q189" s="20" t="str">
        <f>IF(OR(LEFT('Web Links'!$C189,2)="In",$C189="Error"),"?????",IF(LEN(G189)=4,"",IF(LEN(G189)=3,"",IF(LEN(G189)=2,"",IF(LEN(G189)=1,"",""))))&amp;'Web Links'!G189)</f>
        <v>?????</v>
      </c>
      <c r="R189" s="20" t="str">
        <f>IF(OR(LEFT('Web Links'!$C189,2)="In",$C189="Error"),"???????????????",""&amp;F189)</f>
        <v>???????????????</v>
      </c>
    </row>
    <row r="190" spans="1:18" x14ac:dyDescent="0.2">
      <c r="A190" s="20">
        <f>IF('GL Template'!B204&lt;&gt;"",'GL Template'!B204,0)</f>
        <v>0</v>
      </c>
      <c r="B190" s="20">
        <f>IF('GL Template'!D204&lt;&gt;"",'GL Template'!D204,0)</f>
        <v>0</v>
      </c>
      <c r="C190" s="20" t="s">
        <v>95</v>
      </c>
      <c r="N190" s="20" t="str">
        <f>IF(OR(LEFT('Web Links'!$C190,2)="In",$C190="Error"),"?????",""&amp;C190)</f>
        <v>?????</v>
      </c>
      <c r="O190" s="20" t="str">
        <f>IF(OR(LEFT('Web Links'!$C190,2)="In",$C190="Error"),"??????????",""&amp;D190)</f>
        <v>??????????</v>
      </c>
      <c r="P190" s="20" t="str">
        <f>IF(OR(LEFT('Web Links'!$C190,2)="In",$C190="Error"),"???",IF(LEN(E190)=2,"0",IF(LEN(E190)=1,"00","")))&amp;'Web Links'!E190</f>
        <v>???</v>
      </c>
      <c r="Q190" s="20" t="str">
        <f>IF(OR(LEFT('Web Links'!$C190,2)="In",$C190="Error"),"?????",IF(LEN(G190)=4,"",IF(LEN(G190)=3,"",IF(LEN(G190)=2,"",IF(LEN(G190)=1,"",""))))&amp;'Web Links'!G190)</f>
        <v>?????</v>
      </c>
      <c r="R190" s="20" t="str">
        <f>IF(OR(LEFT('Web Links'!$C190,2)="In",$C190="Error"),"???????????????",""&amp;F190)</f>
        <v>???????????????</v>
      </c>
    </row>
    <row r="191" spans="1:18" x14ac:dyDescent="0.2">
      <c r="A191" s="20">
        <f>IF('GL Template'!B205&lt;&gt;"",'GL Template'!B205,0)</f>
        <v>0</v>
      </c>
      <c r="B191" s="20">
        <f>IF('GL Template'!D205&lt;&gt;"",'GL Template'!D205,0)</f>
        <v>0</v>
      </c>
      <c r="C191" s="20" t="s">
        <v>95</v>
      </c>
      <c r="N191" s="20" t="str">
        <f>IF(OR(LEFT('Web Links'!$C191,2)="In",$C191="Error"),"?????",""&amp;C191)</f>
        <v>?????</v>
      </c>
      <c r="O191" s="20" t="str">
        <f>IF(OR(LEFT('Web Links'!$C191,2)="In",$C191="Error"),"??????????",""&amp;D191)</f>
        <v>??????????</v>
      </c>
      <c r="P191" s="20" t="str">
        <f>IF(OR(LEFT('Web Links'!$C191,2)="In",$C191="Error"),"???",IF(LEN(E191)=2,"0",IF(LEN(E191)=1,"00","")))&amp;'Web Links'!E191</f>
        <v>???</v>
      </c>
      <c r="Q191" s="20" t="str">
        <f>IF(OR(LEFT('Web Links'!$C191,2)="In",$C191="Error"),"?????",IF(LEN(G191)=4,"",IF(LEN(G191)=3,"",IF(LEN(G191)=2,"",IF(LEN(G191)=1,"",""))))&amp;'Web Links'!G191)</f>
        <v>?????</v>
      </c>
      <c r="R191" s="20" t="str">
        <f>IF(OR(LEFT('Web Links'!$C191,2)="In",$C191="Error"),"???????????????",""&amp;F191)</f>
        <v>???????????????</v>
      </c>
    </row>
    <row r="192" spans="1:18" x14ac:dyDescent="0.2">
      <c r="A192" s="20">
        <f>IF('GL Template'!B206&lt;&gt;"",'GL Template'!B206,0)</f>
        <v>0</v>
      </c>
      <c r="B192" s="20">
        <f>IF('GL Template'!D206&lt;&gt;"",'GL Template'!D206,0)</f>
        <v>0</v>
      </c>
      <c r="C192" s="20" t="s">
        <v>95</v>
      </c>
      <c r="N192" s="20" t="str">
        <f>IF(OR(LEFT('Web Links'!$C192,2)="In",$C192="Error"),"?????",""&amp;C192)</f>
        <v>?????</v>
      </c>
      <c r="O192" s="20" t="str">
        <f>IF(OR(LEFT('Web Links'!$C192,2)="In",$C192="Error"),"??????????",""&amp;D192)</f>
        <v>??????????</v>
      </c>
      <c r="P192" s="20" t="str">
        <f>IF(OR(LEFT('Web Links'!$C192,2)="In",$C192="Error"),"???",IF(LEN(E192)=2,"0",IF(LEN(E192)=1,"00","")))&amp;'Web Links'!E192</f>
        <v>???</v>
      </c>
      <c r="Q192" s="20" t="str">
        <f>IF(OR(LEFT('Web Links'!$C192,2)="In",$C192="Error"),"?????",IF(LEN(G192)=4,"",IF(LEN(G192)=3,"",IF(LEN(G192)=2,"",IF(LEN(G192)=1,"",""))))&amp;'Web Links'!G192)</f>
        <v>?????</v>
      </c>
      <c r="R192" s="20" t="str">
        <f>IF(OR(LEFT('Web Links'!$C192,2)="In",$C192="Error"),"???????????????",""&amp;F192)</f>
        <v>???????????????</v>
      </c>
    </row>
    <row r="193" spans="1:18" x14ac:dyDescent="0.2">
      <c r="A193" s="20">
        <f>IF('GL Template'!B207&lt;&gt;"",'GL Template'!B207,0)</f>
        <v>0</v>
      </c>
      <c r="B193" s="20">
        <f>IF('GL Template'!D207&lt;&gt;"",'GL Template'!D207,0)</f>
        <v>0</v>
      </c>
      <c r="C193" s="20" t="s">
        <v>95</v>
      </c>
      <c r="N193" s="20" t="str">
        <f>IF(OR(LEFT('Web Links'!$C193,2)="In",$C193="Error"),"?????",""&amp;C193)</f>
        <v>?????</v>
      </c>
      <c r="O193" s="20" t="str">
        <f>IF(OR(LEFT('Web Links'!$C193,2)="In",$C193="Error"),"??????????",""&amp;D193)</f>
        <v>??????????</v>
      </c>
      <c r="P193" s="20" t="str">
        <f>IF(OR(LEFT('Web Links'!$C193,2)="In",$C193="Error"),"???",IF(LEN(E193)=2,"0",IF(LEN(E193)=1,"00","")))&amp;'Web Links'!E193</f>
        <v>???</v>
      </c>
      <c r="Q193" s="20" t="str">
        <f>IF(OR(LEFT('Web Links'!$C193,2)="In",$C193="Error"),"?????",IF(LEN(G193)=4,"",IF(LEN(G193)=3,"",IF(LEN(G193)=2,"",IF(LEN(G193)=1,"",""))))&amp;'Web Links'!G193)</f>
        <v>?????</v>
      </c>
      <c r="R193" s="20" t="str">
        <f>IF(OR(LEFT('Web Links'!$C193,2)="In",$C193="Error"),"???????????????",""&amp;F193)</f>
        <v>???????????????</v>
      </c>
    </row>
    <row r="194" spans="1:18" x14ac:dyDescent="0.2">
      <c r="A194" s="20">
        <f>IF('GL Template'!B208&lt;&gt;"",'GL Template'!B208,0)</f>
        <v>0</v>
      </c>
      <c r="B194" s="20">
        <f>IF('GL Template'!D208&lt;&gt;"",'GL Template'!D208,0)</f>
        <v>0</v>
      </c>
      <c r="C194" s="20" t="s">
        <v>95</v>
      </c>
      <c r="N194" s="20" t="str">
        <f>IF(OR(LEFT('Web Links'!$C194,2)="In",$C194="Error"),"?????",""&amp;C194)</f>
        <v>?????</v>
      </c>
      <c r="O194" s="20" t="str">
        <f>IF(OR(LEFT('Web Links'!$C194,2)="In",$C194="Error"),"??????????",""&amp;D194)</f>
        <v>??????????</v>
      </c>
      <c r="P194" s="20" t="str">
        <f>IF(OR(LEFT('Web Links'!$C194,2)="In",$C194="Error"),"???",IF(LEN(E194)=2,"0",IF(LEN(E194)=1,"00","")))&amp;'Web Links'!E194</f>
        <v>???</v>
      </c>
      <c r="Q194" s="20" t="str">
        <f>IF(OR(LEFT('Web Links'!$C194,2)="In",$C194="Error"),"?????",IF(LEN(G194)=4,"",IF(LEN(G194)=3,"",IF(LEN(G194)=2,"",IF(LEN(G194)=1,"",""))))&amp;'Web Links'!G194)</f>
        <v>?????</v>
      </c>
      <c r="R194" s="20" t="str">
        <f>IF(OR(LEFT('Web Links'!$C194,2)="In",$C194="Error"),"???????????????",""&amp;F194)</f>
        <v>???????????????</v>
      </c>
    </row>
    <row r="195" spans="1:18" x14ac:dyDescent="0.2">
      <c r="A195" s="20">
        <f>IF('GL Template'!B209&lt;&gt;"",'GL Template'!B209,0)</f>
        <v>0</v>
      </c>
      <c r="B195" s="20">
        <f>IF('GL Template'!D209&lt;&gt;"",'GL Template'!D209,0)</f>
        <v>0</v>
      </c>
      <c r="C195" s="20" t="s">
        <v>95</v>
      </c>
      <c r="N195" s="20" t="str">
        <f>IF(OR(LEFT('Web Links'!$C195,2)="In",$C195="Error"),"?????",""&amp;C195)</f>
        <v>?????</v>
      </c>
      <c r="O195" s="20" t="str">
        <f>IF(OR(LEFT('Web Links'!$C195,2)="In",$C195="Error"),"??????????",""&amp;D195)</f>
        <v>??????????</v>
      </c>
      <c r="P195" s="20" t="str">
        <f>IF(OR(LEFT('Web Links'!$C195,2)="In",$C195="Error"),"???",IF(LEN(E195)=2,"0",IF(LEN(E195)=1,"00","")))&amp;'Web Links'!E195</f>
        <v>???</v>
      </c>
      <c r="Q195" s="20" t="str">
        <f>IF(OR(LEFT('Web Links'!$C195,2)="In",$C195="Error"),"?????",IF(LEN(G195)=4,"",IF(LEN(G195)=3,"",IF(LEN(G195)=2,"",IF(LEN(G195)=1,"",""))))&amp;'Web Links'!G195)</f>
        <v>?????</v>
      </c>
      <c r="R195" s="20" t="str">
        <f>IF(OR(LEFT('Web Links'!$C195,2)="In",$C195="Error"),"???????????????",""&amp;F195)</f>
        <v>???????????????</v>
      </c>
    </row>
    <row r="196" spans="1:18" x14ac:dyDescent="0.2">
      <c r="A196" s="20">
        <f>IF('GL Template'!B210&lt;&gt;"",'GL Template'!B210,0)</f>
        <v>0</v>
      </c>
      <c r="B196" s="20">
        <f>IF('GL Template'!D210&lt;&gt;"",'GL Template'!D210,0)</f>
        <v>0</v>
      </c>
      <c r="C196" s="20" t="s">
        <v>95</v>
      </c>
      <c r="N196" s="20" t="str">
        <f>IF(OR(LEFT('Web Links'!$C196,2)="In",$C196="Error"),"?????",""&amp;C196)</f>
        <v>?????</v>
      </c>
      <c r="O196" s="20" t="str">
        <f>IF(OR(LEFT('Web Links'!$C196,2)="In",$C196="Error"),"??????????",""&amp;D196)</f>
        <v>??????????</v>
      </c>
      <c r="P196" s="20" t="str">
        <f>IF(OR(LEFT('Web Links'!$C196,2)="In",$C196="Error"),"???",IF(LEN(E196)=2,"0",IF(LEN(E196)=1,"00","")))&amp;'Web Links'!E196</f>
        <v>???</v>
      </c>
      <c r="Q196" s="20" t="str">
        <f>IF(OR(LEFT('Web Links'!$C196,2)="In",$C196="Error"),"?????",IF(LEN(G196)=4,"",IF(LEN(G196)=3,"",IF(LEN(G196)=2,"",IF(LEN(G196)=1,"",""))))&amp;'Web Links'!G196)</f>
        <v>?????</v>
      </c>
      <c r="R196" s="20" t="str">
        <f>IF(OR(LEFT('Web Links'!$C196,2)="In",$C196="Error"),"???????????????",""&amp;F196)</f>
        <v>???????????????</v>
      </c>
    </row>
    <row r="197" spans="1:18" x14ac:dyDescent="0.2">
      <c r="A197" s="20">
        <f>IF('GL Template'!B211&lt;&gt;"",'GL Template'!B211,0)</f>
        <v>0</v>
      </c>
      <c r="B197" s="20">
        <f>IF('GL Template'!D211&lt;&gt;"",'GL Template'!D211,0)</f>
        <v>0</v>
      </c>
      <c r="C197" s="20" t="s">
        <v>95</v>
      </c>
      <c r="N197" s="20" t="str">
        <f>IF(OR(LEFT('Web Links'!$C197,2)="In",$C197="Error"),"?????",""&amp;C197)</f>
        <v>?????</v>
      </c>
      <c r="O197" s="20" t="str">
        <f>IF(OR(LEFT('Web Links'!$C197,2)="In",$C197="Error"),"??????????",""&amp;D197)</f>
        <v>??????????</v>
      </c>
      <c r="P197" s="20" t="str">
        <f>IF(OR(LEFT('Web Links'!$C197,2)="In",$C197="Error"),"???",IF(LEN(E197)=2,"0",IF(LEN(E197)=1,"00","")))&amp;'Web Links'!E197</f>
        <v>???</v>
      </c>
      <c r="Q197" s="20" t="str">
        <f>IF(OR(LEFT('Web Links'!$C197,2)="In",$C197="Error"),"?????",IF(LEN(G197)=4,"",IF(LEN(G197)=3,"",IF(LEN(G197)=2,"",IF(LEN(G197)=1,"",""))))&amp;'Web Links'!G197)</f>
        <v>?????</v>
      </c>
      <c r="R197" s="20" t="str">
        <f>IF(OR(LEFT('Web Links'!$C197,2)="In",$C197="Error"),"???????????????",""&amp;F197)</f>
        <v>???????????????</v>
      </c>
    </row>
    <row r="198" spans="1:18" x14ac:dyDescent="0.2">
      <c r="A198" s="20">
        <f>IF('GL Template'!B212&lt;&gt;"",'GL Template'!B212,0)</f>
        <v>0</v>
      </c>
      <c r="B198" s="20">
        <f>IF('GL Template'!D212&lt;&gt;"",'GL Template'!D212,0)</f>
        <v>0</v>
      </c>
      <c r="C198" s="20" t="s">
        <v>95</v>
      </c>
      <c r="N198" s="20" t="str">
        <f>IF(OR(LEFT('Web Links'!$C198,2)="In",$C198="Error"),"?????",""&amp;C198)</f>
        <v>?????</v>
      </c>
      <c r="O198" s="20" t="str">
        <f>IF(OR(LEFT('Web Links'!$C198,2)="In",$C198="Error"),"??????????",""&amp;D198)</f>
        <v>??????????</v>
      </c>
      <c r="P198" s="20" t="str">
        <f>IF(OR(LEFT('Web Links'!$C198,2)="In",$C198="Error"),"???",IF(LEN(E198)=2,"0",IF(LEN(E198)=1,"00","")))&amp;'Web Links'!E198</f>
        <v>???</v>
      </c>
      <c r="Q198" s="20" t="str">
        <f>IF(OR(LEFT('Web Links'!$C198,2)="In",$C198="Error"),"?????",IF(LEN(G198)=4,"",IF(LEN(G198)=3,"",IF(LEN(G198)=2,"",IF(LEN(G198)=1,"",""))))&amp;'Web Links'!G198)</f>
        <v>?????</v>
      </c>
      <c r="R198" s="20" t="str">
        <f>IF(OR(LEFT('Web Links'!$C198,2)="In",$C198="Error"),"???????????????",""&amp;F198)</f>
        <v>???????????????</v>
      </c>
    </row>
    <row r="199" spans="1:18" x14ac:dyDescent="0.2">
      <c r="A199" s="20">
        <f>IF('GL Template'!B213&lt;&gt;"",'GL Template'!B213,0)</f>
        <v>0</v>
      </c>
      <c r="B199" s="20">
        <f>IF('GL Template'!D213&lt;&gt;"",'GL Template'!D213,0)</f>
        <v>0</v>
      </c>
      <c r="C199" s="20" t="s">
        <v>95</v>
      </c>
      <c r="N199" s="20" t="str">
        <f>IF(OR(LEFT('Web Links'!$C199,2)="In",$C199="Error"),"?????",""&amp;C199)</f>
        <v>?????</v>
      </c>
      <c r="O199" s="20" t="str">
        <f>IF(OR(LEFT('Web Links'!$C199,2)="In",$C199="Error"),"??????????",""&amp;D199)</f>
        <v>??????????</v>
      </c>
      <c r="P199" s="20" t="str">
        <f>IF(OR(LEFT('Web Links'!$C199,2)="In",$C199="Error"),"???",IF(LEN(E199)=2,"0",IF(LEN(E199)=1,"00","")))&amp;'Web Links'!E199</f>
        <v>???</v>
      </c>
      <c r="Q199" s="20" t="str">
        <f>IF(OR(LEFT('Web Links'!$C199,2)="In",$C199="Error"),"?????",IF(LEN(G199)=4,"",IF(LEN(G199)=3,"",IF(LEN(G199)=2,"",IF(LEN(G199)=1,"",""))))&amp;'Web Links'!G199)</f>
        <v>?????</v>
      </c>
      <c r="R199" s="20" t="str">
        <f>IF(OR(LEFT('Web Links'!$C199,2)="In",$C199="Error"),"???????????????",""&amp;F199)</f>
        <v>???????????????</v>
      </c>
    </row>
    <row r="200" spans="1:18" x14ac:dyDescent="0.2">
      <c r="A200" s="20">
        <f>IF('GL Template'!B214&lt;&gt;"",'GL Template'!B214,0)</f>
        <v>0</v>
      </c>
      <c r="B200" s="20">
        <f>IF('GL Template'!D214&lt;&gt;"",'GL Template'!D214,0)</f>
        <v>0</v>
      </c>
      <c r="C200" s="20" t="s">
        <v>95</v>
      </c>
      <c r="N200" s="20" t="str">
        <f>IF(OR(LEFT('Web Links'!$C200,2)="In",$C200="Error"),"?????",""&amp;C200)</f>
        <v>?????</v>
      </c>
      <c r="O200" s="20" t="str">
        <f>IF(OR(LEFT('Web Links'!$C200,2)="In",$C200="Error"),"??????????",""&amp;D200)</f>
        <v>??????????</v>
      </c>
      <c r="P200" s="20" t="str">
        <f>IF(OR(LEFT('Web Links'!$C200,2)="In",$C200="Error"),"???",IF(LEN(E200)=2,"0",IF(LEN(E200)=1,"00","")))&amp;'Web Links'!E200</f>
        <v>???</v>
      </c>
      <c r="Q200" s="20" t="str">
        <f>IF(OR(LEFT('Web Links'!$C200,2)="In",$C200="Error"),"?????",IF(LEN(G200)=4,"",IF(LEN(G200)=3,"",IF(LEN(G200)=2,"",IF(LEN(G200)=1,"",""))))&amp;'Web Links'!G200)</f>
        <v>?????</v>
      </c>
      <c r="R200" s="20" t="str">
        <f>IF(OR(LEFT('Web Links'!$C200,2)="In",$C200="Error"),"???????????????",""&amp;F200)</f>
        <v>???????????????</v>
      </c>
    </row>
    <row r="201" spans="1:18" x14ac:dyDescent="0.2">
      <c r="A201" s="20">
        <f>IF('GL Template'!B215&lt;&gt;"",'GL Template'!B215,0)</f>
        <v>0</v>
      </c>
      <c r="B201" s="20">
        <f>IF('GL Template'!D215&lt;&gt;"",'GL Template'!D215,0)</f>
        <v>0</v>
      </c>
      <c r="C201" s="20" t="s">
        <v>95</v>
      </c>
      <c r="N201" s="20" t="str">
        <f>IF(OR(LEFT('Web Links'!$C201,2)="In",$C201="Error"),"?????",""&amp;C201)</f>
        <v>?????</v>
      </c>
      <c r="O201" s="20" t="str">
        <f>IF(OR(LEFT('Web Links'!$C201,2)="In",$C201="Error"),"??????????",""&amp;D201)</f>
        <v>??????????</v>
      </c>
      <c r="P201" s="20" t="str">
        <f>IF(OR(LEFT('Web Links'!$C201,2)="In",$C201="Error"),"???",IF(LEN(E201)=2,"0",IF(LEN(E201)=1,"00","")))&amp;'Web Links'!E201</f>
        <v>???</v>
      </c>
      <c r="Q201" s="20" t="str">
        <f>IF(OR(LEFT('Web Links'!$C201,2)="In",$C201="Error"),"?????",IF(LEN(G201)=4,"",IF(LEN(G201)=3,"",IF(LEN(G201)=2,"",IF(LEN(G201)=1,"",""))))&amp;'Web Links'!G201)</f>
        <v>?????</v>
      </c>
      <c r="R201" s="20" t="str">
        <f>IF(OR(LEFT('Web Links'!$C201,2)="In",$C201="Error"),"???????????????",""&amp;F201)</f>
        <v>???????????????</v>
      </c>
    </row>
    <row r="202" spans="1:18" x14ac:dyDescent="0.2">
      <c r="A202" s="20">
        <f>IF('GL Template'!B216&lt;&gt;"",'GL Template'!B216,0)</f>
        <v>0</v>
      </c>
      <c r="B202" s="20">
        <f>IF('GL Template'!D216&lt;&gt;"",'GL Template'!D216,0)</f>
        <v>0</v>
      </c>
      <c r="C202" s="20" t="s">
        <v>95</v>
      </c>
      <c r="N202" s="20" t="str">
        <f>IF(OR(LEFT('Web Links'!$C202,2)="In",$C202="Error"),"?????",""&amp;C202)</f>
        <v>?????</v>
      </c>
      <c r="O202" s="20" t="str">
        <f>IF(OR(LEFT('Web Links'!$C202,2)="In",$C202="Error"),"??????????",""&amp;D202)</f>
        <v>??????????</v>
      </c>
      <c r="P202" s="20" t="str">
        <f>IF(OR(LEFT('Web Links'!$C202,2)="In",$C202="Error"),"???",IF(LEN(E202)=2,"0",IF(LEN(E202)=1,"00","")))&amp;'Web Links'!E202</f>
        <v>???</v>
      </c>
      <c r="Q202" s="20" t="str">
        <f>IF(OR(LEFT('Web Links'!$C202,2)="In",$C202="Error"),"?????",IF(LEN(G202)=4,"",IF(LEN(G202)=3,"",IF(LEN(G202)=2,"",IF(LEN(G202)=1,"",""))))&amp;'Web Links'!G202)</f>
        <v>?????</v>
      </c>
      <c r="R202" s="20" t="str">
        <f>IF(OR(LEFT('Web Links'!$C202,2)="In",$C202="Error"),"???????????????",""&amp;F202)</f>
        <v>???????????????</v>
      </c>
    </row>
    <row r="203" spans="1:18" x14ac:dyDescent="0.2">
      <c r="A203" s="20">
        <f>IF('GL Template'!B217&lt;&gt;"",'GL Template'!B217,0)</f>
        <v>0</v>
      </c>
      <c r="B203" s="20">
        <f>IF('GL Template'!D217&lt;&gt;"",'GL Template'!D217,0)</f>
        <v>0</v>
      </c>
      <c r="C203" s="20" t="s">
        <v>95</v>
      </c>
      <c r="N203" s="20" t="str">
        <f>IF(OR(LEFT('Web Links'!$C203,2)="In",$C203="Error"),"?????",""&amp;C203)</f>
        <v>?????</v>
      </c>
      <c r="O203" s="20" t="str">
        <f>IF(OR(LEFT('Web Links'!$C203,2)="In",$C203="Error"),"??????????",""&amp;D203)</f>
        <v>??????????</v>
      </c>
      <c r="P203" s="20" t="str">
        <f>IF(OR(LEFT('Web Links'!$C203,2)="In",$C203="Error"),"???",IF(LEN(E203)=2,"0",IF(LEN(E203)=1,"00","")))&amp;'Web Links'!E203</f>
        <v>???</v>
      </c>
      <c r="Q203" s="20" t="str">
        <f>IF(OR(LEFT('Web Links'!$C203,2)="In",$C203="Error"),"?????",IF(LEN(G203)=4,"",IF(LEN(G203)=3,"",IF(LEN(G203)=2,"",IF(LEN(G203)=1,"",""))))&amp;'Web Links'!G203)</f>
        <v>?????</v>
      </c>
      <c r="R203" s="20" t="str">
        <f>IF(OR(LEFT('Web Links'!$C203,2)="In",$C203="Error"),"???????????????",""&amp;F203)</f>
        <v>???????????????</v>
      </c>
    </row>
    <row r="204" spans="1:18" x14ac:dyDescent="0.2">
      <c r="A204" s="20">
        <f>IF('GL Template'!B218&lt;&gt;"",'GL Template'!B218,0)</f>
        <v>0</v>
      </c>
      <c r="B204" s="20">
        <f>IF('GL Template'!D218&lt;&gt;"",'GL Template'!D218,0)</f>
        <v>0</v>
      </c>
      <c r="C204" s="20" t="s">
        <v>95</v>
      </c>
      <c r="N204" s="20" t="str">
        <f>IF(OR(LEFT('Web Links'!$C204,2)="In",$C204="Error"),"?????",""&amp;C204)</f>
        <v>?????</v>
      </c>
      <c r="O204" s="20" t="str">
        <f>IF(OR(LEFT('Web Links'!$C204,2)="In",$C204="Error"),"??????????",""&amp;D204)</f>
        <v>??????????</v>
      </c>
      <c r="P204" s="20" t="str">
        <f>IF(OR(LEFT('Web Links'!$C204,2)="In",$C204="Error"),"???",IF(LEN(E204)=2,"0",IF(LEN(E204)=1,"00","")))&amp;'Web Links'!E204</f>
        <v>???</v>
      </c>
      <c r="Q204" s="20" t="str">
        <f>IF(OR(LEFT('Web Links'!$C204,2)="In",$C204="Error"),"?????",IF(LEN(G204)=4,"",IF(LEN(G204)=3,"",IF(LEN(G204)=2,"",IF(LEN(G204)=1,"",""))))&amp;'Web Links'!G204)</f>
        <v>?????</v>
      </c>
      <c r="R204" s="20" t="str">
        <f>IF(OR(LEFT('Web Links'!$C204,2)="In",$C204="Error"),"???????????????",""&amp;F204)</f>
        <v>???????????????</v>
      </c>
    </row>
    <row r="205" spans="1:18" x14ac:dyDescent="0.2">
      <c r="A205" s="20">
        <f>IF('GL Template'!B219&lt;&gt;"",'GL Template'!B219,0)</f>
        <v>0</v>
      </c>
      <c r="B205" s="20">
        <f>IF('GL Template'!D219&lt;&gt;"",'GL Template'!D219,0)</f>
        <v>0</v>
      </c>
      <c r="C205" s="20" t="s">
        <v>95</v>
      </c>
      <c r="N205" s="20" t="str">
        <f>IF(OR(LEFT('Web Links'!$C205,2)="In",$C205="Error"),"?????",""&amp;C205)</f>
        <v>?????</v>
      </c>
      <c r="O205" s="20" t="str">
        <f>IF(OR(LEFT('Web Links'!$C205,2)="In",$C205="Error"),"??????????",""&amp;D205)</f>
        <v>??????????</v>
      </c>
      <c r="P205" s="20" t="str">
        <f>IF(OR(LEFT('Web Links'!$C205,2)="In",$C205="Error"),"???",IF(LEN(E205)=2,"0",IF(LEN(E205)=1,"00","")))&amp;'Web Links'!E205</f>
        <v>???</v>
      </c>
      <c r="Q205" s="20" t="str">
        <f>IF(OR(LEFT('Web Links'!$C205,2)="In",$C205="Error"),"?????",IF(LEN(G205)=4,"",IF(LEN(G205)=3,"",IF(LEN(G205)=2,"",IF(LEN(G205)=1,"",""))))&amp;'Web Links'!G205)</f>
        <v>?????</v>
      </c>
      <c r="R205" s="20" t="str">
        <f>IF(OR(LEFT('Web Links'!$C205,2)="In",$C205="Error"),"???????????????",""&amp;F205)</f>
        <v>???????????????</v>
      </c>
    </row>
    <row r="206" spans="1:18" x14ac:dyDescent="0.2">
      <c r="A206" s="20">
        <f>IF('GL Template'!B220&lt;&gt;"",'GL Template'!B220,0)</f>
        <v>0</v>
      </c>
      <c r="B206" s="20">
        <f>IF('GL Template'!D220&lt;&gt;"",'GL Template'!D220,0)</f>
        <v>0</v>
      </c>
      <c r="C206" s="20" t="s">
        <v>95</v>
      </c>
      <c r="N206" s="20" t="str">
        <f>IF(OR(LEFT('Web Links'!$C206,2)="In",$C206="Error"),"?????",""&amp;C206)</f>
        <v>?????</v>
      </c>
      <c r="O206" s="20" t="str">
        <f>IF(OR(LEFT('Web Links'!$C206,2)="In",$C206="Error"),"??????????",""&amp;D206)</f>
        <v>??????????</v>
      </c>
      <c r="P206" s="20" t="str">
        <f>IF(OR(LEFT('Web Links'!$C206,2)="In",$C206="Error"),"???",IF(LEN(E206)=2,"0",IF(LEN(E206)=1,"00","")))&amp;'Web Links'!E206</f>
        <v>???</v>
      </c>
      <c r="Q206" s="20" t="str">
        <f>IF(OR(LEFT('Web Links'!$C206,2)="In",$C206="Error"),"?????",IF(LEN(G206)=4,"",IF(LEN(G206)=3,"",IF(LEN(G206)=2,"",IF(LEN(G206)=1,"",""))))&amp;'Web Links'!G206)</f>
        <v>?????</v>
      </c>
      <c r="R206" s="20" t="str">
        <f>IF(OR(LEFT('Web Links'!$C206,2)="In",$C206="Error"),"???????????????",""&amp;F206)</f>
        <v>???????????????</v>
      </c>
    </row>
    <row r="207" spans="1:18" x14ac:dyDescent="0.2">
      <c r="A207" s="20">
        <f>IF('GL Template'!B221&lt;&gt;"",'GL Template'!B221,0)</f>
        <v>0</v>
      </c>
      <c r="B207" s="20">
        <f>IF('GL Template'!D221&lt;&gt;"",'GL Template'!D221,0)</f>
        <v>0</v>
      </c>
      <c r="C207" s="20" t="s">
        <v>95</v>
      </c>
      <c r="N207" s="20" t="str">
        <f>IF(OR(LEFT('Web Links'!$C207,2)="In",$C207="Error"),"?????",""&amp;C207)</f>
        <v>?????</v>
      </c>
      <c r="O207" s="20" t="str">
        <f>IF(OR(LEFT('Web Links'!$C207,2)="In",$C207="Error"),"??????????",""&amp;D207)</f>
        <v>??????????</v>
      </c>
      <c r="P207" s="20" t="str">
        <f>IF(OR(LEFT('Web Links'!$C207,2)="In",$C207="Error"),"???",IF(LEN(E207)=2,"0",IF(LEN(E207)=1,"00","")))&amp;'Web Links'!E207</f>
        <v>???</v>
      </c>
      <c r="Q207" s="20" t="str">
        <f>IF(OR(LEFT('Web Links'!$C207,2)="In",$C207="Error"),"?????",IF(LEN(G207)=4,"",IF(LEN(G207)=3,"",IF(LEN(G207)=2,"",IF(LEN(G207)=1,"",""))))&amp;'Web Links'!G207)</f>
        <v>?????</v>
      </c>
      <c r="R207" s="20" t="str">
        <f>IF(OR(LEFT('Web Links'!$C207,2)="In",$C207="Error"),"???????????????",""&amp;F207)</f>
        <v>???????????????</v>
      </c>
    </row>
    <row r="208" spans="1:18" x14ac:dyDescent="0.2">
      <c r="A208" s="20">
        <f>IF('GL Template'!B222&lt;&gt;"",'GL Template'!B222,0)</f>
        <v>0</v>
      </c>
      <c r="B208" s="20">
        <f>IF('GL Template'!D222&lt;&gt;"",'GL Template'!D222,0)</f>
        <v>0</v>
      </c>
      <c r="C208" s="20" t="s">
        <v>95</v>
      </c>
      <c r="N208" s="20" t="str">
        <f>IF(OR(LEFT('Web Links'!$C208,2)="In",$C208="Error"),"?????",""&amp;C208)</f>
        <v>?????</v>
      </c>
      <c r="O208" s="20" t="str">
        <f>IF(OR(LEFT('Web Links'!$C208,2)="In",$C208="Error"),"??????????",""&amp;D208)</f>
        <v>??????????</v>
      </c>
      <c r="P208" s="20" t="str">
        <f>IF(OR(LEFT('Web Links'!$C208,2)="In",$C208="Error"),"???",IF(LEN(E208)=2,"0",IF(LEN(E208)=1,"00","")))&amp;'Web Links'!E208</f>
        <v>???</v>
      </c>
      <c r="Q208" s="20" t="str">
        <f>IF(OR(LEFT('Web Links'!$C208,2)="In",$C208="Error"),"?????",IF(LEN(G208)=4,"",IF(LEN(G208)=3,"",IF(LEN(G208)=2,"",IF(LEN(G208)=1,"",""))))&amp;'Web Links'!G208)</f>
        <v>?????</v>
      </c>
      <c r="R208" s="20" t="str">
        <f>IF(OR(LEFT('Web Links'!$C208,2)="In",$C208="Error"),"???????????????",""&amp;F208)</f>
        <v>???????????????</v>
      </c>
    </row>
    <row r="209" spans="1:18" x14ac:dyDescent="0.2">
      <c r="A209" s="20">
        <f>IF('GL Template'!B223&lt;&gt;"",'GL Template'!B223,0)</f>
        <v>0</v>
      </c>
      <c r="B209" s="20">
        <f>IF('GL Template'!D223&lt;&gt;"",'GL Template'!D223,0)</f>
        <v>0</v>
      </c>
      <c r="C209" s="20" t="s">
        <v>95</v>
      </c>
      <c r="N209" s="20" t="str">
        <f>IF(OR(LEFT('Web Links'!$C209,2)="In",$C209="Error"),"?????",""&amp;C209)</f>
        <v>?????</v>
      </c>
      <c r="O209" s="20" t="str">
        <f>IF(OR(LEFT('Web Links'!$C209,2)="In",$C209="Error"),"??????????",""&amp;D209)</f>
        <v>??????????</v>
      </c>
      <c r="P209" s="20" t="str">
        <f>IF(OR(LEFT('Web Links'!$C209,2)="In",$C209="Error"),"???",IF(LEN(E209)=2,"0",IF(LEN(E209)=1,"00","")))&amp;'Web Links'!E209</f>
        <v>???</v>
      </c>
      <c r="Q209" s="20" t="str">
        <f>IF(OR(LEFT('Web Links'!$C209,2)="In",$C209="Error"),"?????",IF(LEN(G209)=4,"",IF(LEN(G209)=3,"",IF(LEN(G209)=2,"",IF(LEN(G209)=1,"",""))))&amp;'Web Links'!G209)</f>
        <v>?????</v>
      </c>
      <c r="R209" s="20" t="str">
        <f>IF(OR(LEFT('Web Links'!$C209,2)="In",$C209="Error"),"???????????????",""&amp;F209)</f>
        <v>???????????????</v>
      </c>
    </row>
    <row r="210" spans="1:18" x14ac:dyDescent="0.2">
      <c r="A210" s="20">
        <f>IF('GL Template'!B224&lt;&gt;"",'GL Template'!B224,0)</f>
        <v>0</v>
      </c>
      <c r="B210" s="20">
        <f>IF('GL Template'!D224&lt;&gt;"",'GL Template'!D224,0)</f>
        <v>0</v>
      </c>
      <c r="C210" s="20" t="s">
        <v>95</v>
      </c>
      <c r="N210" s="20" t="str">
        <f>IF(OR(LEFT('Web Links'!$C210,2)="In",$C210="Error"),"?????",""&amp;C210)</f>
        <v>?????</v>
      </c>
      <c r="O210" s="20" t="str">
        <f>IF(OR(LEFT('Web Links'!$C210,2)="In",$C210="Error"),"??????????",""&amp;D210)</f>
        <v>??????????</v>
      </c>
      <c r="P210" s="20" t="str">
        <f>IF(OR(LEFT('Web Links'!$C210,2)="In",$C210="Error"),"???",IF(LEN(E210)=2,"0",IF(LEN(E210)=1,"00","")))&amp;'Web Links'!E210</f>
        <v>???</v>
      </c>
      <c r="Q210" s="20" t="str">
        <f>IF(OR(LEFT('Web Links'!$C210,2)="In",$C210="Error"),"?????",IF(LEN(G210)=4,"",IF(LEN(G210)=3,"",IF(LEN(G210)=2,"",IF(LEN(G210)=1,"",""))))&amp;'Web Links'!G210)</f>
        <v>?????</v>
      </c>
      <c r="R210" s="20" t="str">
        <f>IF(OR(LEFT('Web Links'!$C210,2)="In",$C210="Error"),"???????????????",""&amp;F210)</f>
        <v>???????????????</v>
      </c>
    </row>
    <row r="211" spans="1:18" x14ac:dyDescent="0.2">
      <c r="A211" s="20">
        <f>IF('GL Template'!B225&lt;&gt;"",'GL Template'!B225,0)</f>
        <v>0</v>
      </c>
      <c r="B211" s="20">
        <f>IF('GL Template'!D225&lt;&gt;"",'GL Template'!D225,0)</f>
        <v>0</v>
      </c>
      <c r="C211" s="20" t="s">
        <v>95</v>
      </c>
      <c r="N211" s="20" t="str">
        <f>IF(OR(LEFT('Web Links'!$C211,2)="In",$C211="Error"),"?????",""&amp;C211)</f>
        <v>?????</v>
      </c>
      <c r="O211" s="20" t="str">
        <f>IF(OR(LEFT('Web Links'!$C211,2)="In",$C211="Error"),"??????????",""&amp;D211)</f>
        <v>??????????</v>
      </c>
      <c r="P211" s="20" t="str">
        <f>IF(OR(LEFT('Web Links'!$C211,2)="In",$C211="Error"),"???",IF(LEN(E211)=2,"0",IF(LEN(E211)=1,"00","")))&amp;'Web Links'!E211</f>
        <v>???</v>
      </c>
      <c r="Q211" s="20" t="str">
        <f>IF(OR(LEFT('Web Links'!$C211,2)="In",$C211="Error"),"?????",IF(LEN(G211)=4,"",IF(LEN(G211)=3,"",IF(LEN(G211)=2,"",IF(LEN(G211)=1,"",""))))&amp;'Web Links'!G211)</f>
        <v>?????</v>
      </c>
      <c r="R211" s="20" t="str">
        <f>IF(OR(LEFT('Web Links'!$C211,2)="In",$C211="Error"),"???????????????",""&amp;F211)</f>
        <v>???????????????</v>
      </c>
    </row>
    <row r="212" spans="1:18" x14ac:dyDescent="0.2">
      <c r="A212" s="20">
        <f>IF('GL Template'!B226&lt;&gt;"",'GL Template'!B226,0)</f>
        <v>0</v>
      </c>
      <c r="B212" s="20">
        <f>IF('GL Template'!D226&lt;&gt;"",'GL Template'!D226,0)</f>
        <v>0</v>
      </c>
      <c r="C212" s="20" t="s">
        <v>95</v>
      </c>
      <c r="N212" s="20" t="str">
        <f>IF(OR(LEFT('Web Links'!$C212,2)="In",$C212="Error"),"?????",""&amp;C212)</f>
        <v>?????</v>
      </c>
      <c r="O212" s="20" t="str">
        <f>IF(OR(LEFT('Web Links'!$C212,2)="In",$C212="Error"),"??????????",""&amp;D212)</f>
        <v>??????????</v>
      </c>
      <c r="P212" s="20" t="str">
        <f>IF(OR(LEFT('Web Links'!$C212,2)="In",$C212="Error"),"???",IF(LEN(E212)=2,"0",IF(LEN(E212)=1,"00","")))&amp;'Web Links'!E212</f>
        <v>???</v>
      </c>
      <c r="Q212" s="20" t="str">
        <f>IF(OR(LEFT('Web Links'!$C212,2)="In",$C212="Error"),"?????",IF(LEN(G212)=4,"",IF(LEN(G212)=3,"",IF(LEN(G212)=2,"",IF(LEN(G212)=1,"",""))))&amp;'Web Links'!G212)</f>
        <v>?????</v>
      </c>
      <c r="R212" s="20" t="str">
        <f>IF(OR(LEFT('Web Links'!$C212,2)="In",$C212="Error"),"???????????????",""&amp;F212)</f>
        <v>???????????????</v>
      </c>
    </row>
    <row r="213" spans="1:18" x14ac:dyDescent="0.2">
      <c r="A213" s="20">
        <f>IF('GL Template'!B227&lt;&gt;"",'GL Template'!B227,0)</f>
        <v>0</v>
      </c>
      <c r="B213" s="20">
        <f>IF('GL Template'!D227&lt;&gt;"",'GL Template'!D227,0)</f>
        <v>0</v>
      </c>
      <c r="C213" s="20" t="s">
        <v>95</v>
      </c>
      <c r="N213" s="20" t="str">
        <f>IF(OR(LEFT('Web Links'!$C213,2)="In",$C213="Error"),"?????",""&amp;C213)</f>
        <v>?????</v>
      </c>
      <c r="O213" s="20" t="str">
        <f>IF(OR(LEFT('Web Links'!$C213,2)="In",$C213="Error"),"??????????",""&amp;D213)</f>
        <v>??????????</v>
      </c>
      <c r="P213" s="20" t="str">
        <f>IF(OR(LEFT('Web Links'!$C213,2)="In",$C213="Error"),"???",IF(LEN(E213)=2,"0",IF(LEN(E213)=1,"00","")))&amp;'Web Links'!E213</f>
        <v>???</v>
      </c>
      <c r="Q213" s="20" t="str">
        <f>IF(OR(LEFT('Web Links'!$C213,2)="In",$C213="Error"),"?????",IF(LEN(G213)=4,"",IF(LEN(G213)=3,"",IF(LEN(G213)=2,"",IF(LEN(G213)=1,"",""))))&amp;'Web Links'!G213)</f>
        <v>?????</v>
      </c>
      <c r="R213" s="20" t="str">
        <f>IF(OR(LEFT('Web Links'!$C213,2)="In",$C213="Error"),"???????????????",""&amp;F213)</f>
        <v>???????????????</v>
      </c>
    </row>
    <row r="214" spans="1:18" x14ac:dyDescent="0.2">
      <c r="A214" s="20">
        <f>IF('GL Template'!B228&lt;&gt;"",'GL Template'!B228,0)</f>
        <v>0</v>
      </c>
      <c r="B214" s="20">
        <f>IF('GL Template'!D228&lt;&gt;"",'GL Template'!D228,0)</f>
        <v>0</v>
      </c>
      <c r="C214" s="20" t="s">
        <v>95</v>
      </c>
      <c r="N214" s="20" t="str">
        <f>IF(OR(LEFT('Web Links'!$C214,2)="In",$C214="Error"),"?????",""&amp;C214)</f>
        <v>?????</v>
      </c>
      <c r="O214" s="20" t="str">
        <f>IF(OR(LEFT('Web Links'!$C214,2)="In",$C214="Error"),"??????????",""&amp;D214)</f>
        <v>??????????</v>
      </c>
      <c r="P214" s="20" t="str">
        <f>IF(OR(LEFT('Web Links'!$C214,2)="In",$C214="Error"),"???",IF(LEN(E214)=2,"0",IF(LEN(E214)=1,"00","")))&amp;'Web Links'!E214</f>
        <v>???</v>
      </c>
      <c r="Q214" s="20" t="str">
        <f>IF(OR(LEFT('Web Links'!$C214,2)="In",$C214="Error"),"?????",IF(LEN(G214)=4,"",IF(LEN(G214)=3,"",IF(LEN(G214)=2,"",IF(LEN(G214)=1,"",""))))&amp;'Web Links'!G214)</f>
        <v>?????</v>
      </c>
      <c r="R214" s="20" t="str">
        <f>IF(OR(LEFT('Web Links'!$C214,2)="In",$C214="Error"),"???????????????",""&amp;F214)</f>
        <v>???????????????</v>
      </c>
    </row>
    <row r="215" spans="1:18" x14ac:dyDescent="0.2">
      <c r="A215" s="20">
        <f>IF('GL Template'!B229&lt;&gt;"",'GL Template'!B229,0)</f>
        <v>0</v>
      </c>
      <c r="B215" s="20">
        <f>IF('GL Template'!D229&lt;&gt;"",'GL Template'!D229,0)</f>
        <v>0</v>
      </c>
      <c r="C215" s="20" t="s">
        <v>95</v>
      </c>
      <c r="N215" s="20" t="str">
        <f>IF(OR(LEFT('Web Links'!$C215,2)="In",$C215="Error"),"?????",""&amp;C215)</f>
        <v>?????</v>
      </c>
      <c r="O215" s="20" t="str">
        <f>IF(OR(LEFT('Web Links'!$C215,2)="In",$C215="Error"),"??????????",""&amp;D215)</f>
        <v>??????????</v>
      </c>
      <c r="P215" s="20" t="str">
        <f>IF(OR(LEFT('Web Links'!$C215,2)="In",$C215="Error"),"???",IF(LEN(E215)=2,"0",IF(LEN(E215)=1,"00","")))&amp;'Web Links'!E215</f>
        <v>???</v>
      </c>
      <c r="Q215" s="20" t="str">
        <f>IF(OR(LEFT('Web Links'!$C215,2)="In",$C215="Error"),"?????",IF(LEN(G215)=4,"",IF(LEN(G215)=3,"",IF(LEN(G215)=2,"",IF(LEN(G215)=1,"",""))))&amp;'Web Links'!G215)</f>
        <v>?????</v>
      </c>
      <c r="R215" s="20" t="str">
        <f>IF(OR(LEFT('Web Links'!$C215,2)="In",$C215="Error"),"???????????????",""&amp;F215)</f>
        <v>???????????????</v>
      </c>
    </row>
    <row r="216" spans="1:18" x14ac:dyDescent="0.2">
      <c r="A216" s="20">
        <f>IF('GL Template'!B230&lt;&gt;"",'GL Template'!B230,0)</f>
        <v>0</v>
      </c>
      <c r="B216" s="20">
        <f>IF('GL Template'!D230&lt;&gt;"",'GL Template'!D230,0)</f>
        <v>0</v>
      </c>
      <c r="C216" s="20" t="s">
        <v>95</v>
      </c>
      <c r="N216" s="20" t="str">
        <f>IF(OR(LEFT('Web Links'!$C216,2)="In",$C216="Error"),"?????",""&amp;C216)</f>
        <v>?????</v>
      </c>
      <c r="O216" s="20" t="str">
        <f>IF(OR(LEFT('Web Links'!$C216,2)="In",$C216="Error"),"??????????",""&amp;D216)</f>
        <v>??????????</v>
      </c>
      <c r="P216" s="20" t="str">
        <f>IF(OR(LEFT('Web Links'!$C216,2)="In",$C216="Error"),"???",IF(LEN(E216)=2,"0",IF(LEN(E216)=1,"00","")))&amp;'Web Links'!E216</f>
        <v>???</v>
      </c>
      <c r="Q216" s="20" t="str">
        <f>IF(OR(LEFT('Web Links'!$C216,2)="In",$C216="Error"),"?????",IF(LEN(G216)=4,"",IF(LEN(G216)=3,"",IF(LEN(G216)=2,"",IF(LEN(G216)=1,"",""))))&amp;'Web Links'!G216)</f>
        <v>?????</v>
      </c>
      <c r="R216" s="20" t="str">
        <f>IF(OR(LEFT('Web Links'!$C216,2)="In",$C216="Error"),"???????????????",""&amp;F216)</f>
        <v>???????????????</v>
      </c>
    </row>
    <row r="217" spans="1:18" x14ac:dyDescent="0.2">
      <c r="A217" s="20">
        <f>IF('GL Template'!B231&lt;&gt;"",'GL Template'!B231,0)</f>
        <v>0</v>
      </c>
      <c r="B217" s="20">
        <f>IF('GL Template'!D231&lt;&gt;"",'GL Template'!D231,0)</f>
        <v>0</v>
      </c>
      <c r="C217" s="20" t="s">
        <v>95</v>
      </c>
      <c r="N217" s="20" t="str">
        <f>IF(OR(LEFT('Web Links'!$C217,2)="In",$C217="Error"),"?????",""&amp;C217)</f>
        <v>?????</v>
      </c>
      <c r="O217" s="20" t="str">
        <f>IF(OR(LEFT('Web Links'!$C217,2)="In",$C217="Error"),"??????????",""&amp;D217)</f>
        <v>??????????</v>
      </c>
      <c r="P217" s="20" t="str">
        <f>IF(OR(LEFT('Web Links'!$C217,2)="In",$C217="Error"),"???",IF(LEN(E217)=2,"0",IF(LEN(E217)=1,"00","")))&amp;'Web Links'!E217</f>
        <v>???</v>
      </c>
      <c r="Q217" s="20" t="str">
        <f>IF(OR(LEFT('Web Links'!$C217,2)="In",$C217="Error"),"?????",IF(LEN(G217)=4,"",IF(LEN(G217)=3,"",IF(LEN(G217)=2,"",IF(LEN(G217)=1,"",""))))&amp;'Web Links'!G217)</f>
        <v>?????</v>
      </c>
      <c r="R217" s="20" t="str">
        <f>IF(OR(LEFT('Web Links'!$C217,2)="In",$C217="Error"),"???????????????",""&amp;F217)</f>
        <v>???????????????</v>
      </c>
    </row>
    <row r="218" spans="1:18" x14ac:dyDescent="0.2">
      <c r="A218" s="20">
        <f>IF('GL Template'!B232&lt;&gt;"",'GL Template'!B232,0)</f>
        <v>0</v>
      </c>
      <c r="B218" s="20">
        <f>IF('GL Template'!D232&lt;&gt;"",'GL Template'!D232,0)</f>
        <v>0</v>
      </c>
      <c r="C218" s="20" t="s">
        <v>95</v>
      </c>
      <c r="N218" s="20" t="str">
        <f>IF(OR(LEFT('Web Links'!$C218,2)="In",$C218="Error"),"?????",""&amp;C218)</f>
        <v>?????</v>
      </c>
      <c r="O218" s="20" t="str">
        <f>IF(OR(LEFT('Web Links'!$C218,2)="In",$C218="Error"),"??????????",""&amp;D218)</f>
        <v>??????????</v>
      </c>
      <c r="P218" s="20" t="str">
        <f>IF(OR(LEFT('Web Links'!$C218,2)="In",$C218="Error"),"???",IF(LEN(E218)=2,"0",IF(LEN(E218)=1,"00","")))&amp;'Web Links'!E218</f>
        <v>???</v>
      </c>
      <c r="Q218" s="20" t="str">
        <f>IF(OR(LEFT('Web Links'!$C218,2)="In",$C218="Error"),"?????",IF(LEN(G218)=4,"",IF(LEN(G218)=3,"",IF(LEN(G218)=2,"",IF(LEN(G218)=1,"",""))))&amp;'Web Links'!G218)</f>
        <v>?????</v>
      </c>
      <c r="R218" s="20" t="str">
        <f>IF(OR(LEFT('Web Links'!$C218,2)="In",$C218="Error"),"???????????????",""&amp;F218)</f>
        <v>???????????????</v>
      </c>
    </row>
    <row r="219" spans="1:18" x14ac:dyDescent="0.2">
      <c r="A219" s="20">
        <f>IF('GL Template'!B233&lt;&gt;"",'GL Template'!B233,0)</f>
        <v>0</v>
      </c>
      <c r="B219" s="20">
        <f>IF('GL Template'!D233&lt;&gt;"",'GL Template'!D233,0)</f>
        <v>0</v>
      </c>
      <c r="C219" s="20" t="s">
        <v>95</v>
      </c>
      <c r="N219" s="20" t="str">
        <f>IF(OR(LEFT('Web Links'!$C219,2)="In",$C219="Error"),"?????",""&amp;C219)</f>
        <v>?????</v>
      </c>
      <c r="O219" s="20" t="str">
        <f>IF(OR(LEFT('Web Links'!$C219,2)="In",$C219="Error"),"??????????",""&amp;D219)</f>
        <v>??????????</v>
      </c>
      <c r="P219" s="20" t="str">
        <f>IF(OR(LEFT('Web Links'!$C219,2)="In",$C219="Error"),"???",IF(LEN(E219)=2,"0",IF(LEN(E219)=1,"00","")))&amp;'Web Links'!E219</f>
        <v>???</v>
      </c>
      <c r="Q219" s="20" t="str">
        <f>IF(OR(LEFT('Web Links'!$C219,2)="In",$C219="Error"),"?????",IF(LEN(G219)=4,"",IF(LEN(G219)=3,"",IF(LEN(G219)=2,"",IF(LEN(G219)=1,"",""))))&amp;'Web Links'!G219)</f>
        <v>?????</v>
      </c>
      <c r="R219" s="20" t="str">
        <f>IF(OR(LEFT('Web Links'!$C219,2)="In",$C219="Error"),"???????????????",""&amp;F219)</f>
        <v>???????????????</v>
      </c>
    </row>
    <row r="220" spans="1:18" x14ac:dyDescent="0.2">
      <c r="A220" s="20">
        <f>IF('GL Template'!B234&lt;&gt;"",'GL Template'!B234,0)</f>
        <v>0</v>
      </c>
      <c r="B220" s="20">
        <f>IF('GL Template'!D234&lt;&gt;"",'GL Template'!D234,0)</f>
        <v>0</v>
      </c>
      <c r="C220" s="20" t="s">
        <v>95</v>
      </c>
      <c r="N220" s="20" t="str">
        <f>IF(OR(LEFT('Web Links'!$C220,2)="In",$C220="Error"),"?????",""&amp;C220)</f>
        <v>?????</v>
      </c>
      <c r="O220" s="20" t="str">
        <f>IF(OR(LEFT('Web Links'!$C220,2)="In",$C220="Error"),"??????????",""&amp;D220)</f>
        <v>??????????</v>
      </c>
      <c r="P220" s="20" t="str">
        <f>IF(OR(LEFT('Web Links'!$C220,2)="In",$C220="Error"),"???",IF(LEN(E220)=2,"0",IF(LEN(E220)=1,"00","")))&amp;'Web Links'!E220</f>
        <v>???</v>
      </c>
      <c r="Q220" s="20" t="str">
        <f>IF(OR(LEFT('Web Links'!$C220,2)="In",$C220="Error"),"?????",IF(LEN(G220)=4,"",IF(LEN(G220)=3,"",IF(LEN(G220)=2,"",IF(LEN(G220)=1,"",""))))&amp;'Web Links'!G220)</f>
        <v>?????</v>
      </c>
      <c r="R220" s="20" t="str">
        <f>IF(OR(LEFT('Web Links'!$C220,2)="In",$C220="Error"),"???????????????",""&amp;F220)</f>
        <v>???????????????</v>
      </c>
    </row>
    <row r="221" spans="1:18" x14ac:dyDescent="0.2">
      <c r="A221" s="20">
        <f>IF('GL Template'!B235&lt;&gt;"",'GL Template'!B235,0)</f>
        <v>0</v>
      </c>
      <c r="B221" s="20">
        <f>IF('GL Template'!D235&lt;&gt;"",'GL Template'!D235,0)</f>
        <v>0</v>
      </c>
      <c r="C221" s="20" t="s">
        <v>95</v>
      </c>
      <c r="N221" s="20" t="str">
        <f>IF(OR(LEFT('Web Links'!$C221,2)="In",$C221="Error"),"?????",""&amp;C221)</f>
        <v>?????</v>
      </c>
      <c r="O221" s="20" t="str">
        <f>IF(OR(LEFT('Web Links'!$C221,2)="In",$C221="Error"),"??????????",""&amp;D221)</f>
        <v>??????????</v>
      </c>
      <c r="P221" s="20" t="str">
        <f>IF(OR(LEFT('Web Links'!$C221,2)="In",$C221="Error"),"???",IF(LEN(E221)=2,"0",IF(LEN(E221)=1,"00","")))&amp;'Web Links'!E221</f>
        <v>???</v>
      </c>
      <c r="Q221" s="20" t="str">
        <f>IF(OR(LEFT('Web Links'!$C221,2)="In",$C221="Error"),"?????",IF(LEN(G221)=4,"",IF(LEN(G221)=3,"",IF(LEN(G221)=2,"",IF(LEN(G221)=1,"",""))))&amp;'Web Links'!G221)</f>
        <v>?????</v>
      </c>
      <c r="R221" s="20" t="str">
        <f>IF(OR(LEFT('Web Links'!$C221,2)="In",$C221="Error"),"???????????????",""&amp;F221)</f>
        <v>???????????????</v>
      </c>
    </row>
    <row r="222" spans="1:18" x14ac:dyDescent="0.2">
      <c r="A222" s="20">
        <f>IF('GL Template'!B236&lt;&gt;"",'GL Template'!B236,0)</f>
        <v>0</v>
      </c>
      <c r="B222" s="20">
        <f>IF('GL Template'!D236&lt;&gt;"",'GL Template'!D236,0)</f>
        <v>0</v>
      </c>
      <c r="C222" s="20" t="s">
        <v>95</v>
      </c>
      <c r="N222" s="20" t="str">
        <f>IF(OR(LEFT('Web Links'!$C222,2)="In",$C222="Error"),"?????",""&amp;C222)</f>
        <v>?????</v>
      </c>
      <c r="O222" s="20" t="str">
        <f>IF(OR(LEFT('Web Links'!$C222,2)="In",$C222="Error"),"??????????",""&amp;D222)</f>
        <v>??????????</v>
      </c>
      <c r="P222" s="20" t="str">
        <f>IF(OR(LEFT('Web Links'!$C222,2)="In",$C222="Error"),"???",IF(LEN(E222)=2,"0",IF(LEN(E222)=1,"00","")))&amp;'Web Links'!E222</f>
        <v>???</v>
      </c>
      <c r="Q222" s="20" t="str">
        <f>IF(OR(LEFT('Web Links'!$C222,2)="In",$C222="Error"),"?????",IF(LEN(G222)=4,"",IF(LEN(G222)=3,"",IF(LEN(G222)=2,"",IF(LEN(G222)=1,"",""))))&amp;'Web Links'!G222)</f>
        <v>?????</v>
      </c>
      <c r="R222" s="20" t="str">
        <f>IF(OR(LEFT('Web Links'!$C222,2)="In",$C222="Error"),"???????????????",""&amp;F222)</f>
        <v>???????????????</v>
      </c>
    </row>
    <row r="223" spans="1:18" x14ac:dyDescent="0.2">
      <c r="A223" s="20">
        <f>IF('GL Template'!B237&lt;&gt;"",'GL Template'!B237,0)</f>
        <v>0</v>
      </c>
      <c r="B223" s="20">
        <f>IF('GL Template'!D237&lt;&gt;"",'GL Template'!D237,0)</f>
        <v>0</v>
      </c>
      <c r="C223" s="20" t="s">
        <v>95</v>
      </c>
      <c r="N223" s="20" t="str">
        <f>IF(OR(LEFT('Web Links'!$C223,2)="In",$C223="Error"),"?????",""&amp;C223)</f>
        <v>?????</v>
      </c>
      <c r="O223" s="20" t="str">
        <f>IF(OR(LEFT('Web Links'!$C223,2)="In",$C223="Error"),"??????????",""&amp;D223)</f>
        <v>??????????</v>
      </c>
      <c r="P223" s="20" t="str">
        <f>IF(OR(LEFT('Web Links'!$C223,2)="In",$C223="Error"),"???",IF(LEN(E223)=2,"0",IF(LEN(E223)=1,"00","")))&amp;'Web Links'!E223</f>
        <v>???</v>
      </c>
      <c r="Q223" s="20" t="str">
        <f>IF(OR(LEFT('Web Links'!$C223,2)="In",$C223="Error"),"?????",IF(LEN(G223)=4,"",IF(LEN(G223)=3,"",IF(LEN(G223)=2,"",IF(LEN(G223)=1,"",""))))&amp;'Web Links'!G223)</f>
        <v>?????</v>
      </c>
      <c r="R223" s="20" t="str">
        <f>IF(OR(LEFT('Web Links'!$C223,2)="In",$C223="Error"),"???????????????",""&amp;F223)</f>
        <v>???????????????</v>
      </c>
    </row>
    <row r="224" spans="1:18" x14ac:dyDescent="0.2">
      <c r="A224" s="20">
        <f>IF('GL Template'!B238&lt;&gt;"",'GL Template'!B238,0)</f>
        <v>0</v>
      </c>
      <c r="B224" s="20">
        <f>IF('GL Template'!D238&lt;&gt;"",'GL Template'!D238,0)</f>
        <v>0</v>
      </c>
      <c r="C224" s="20" t="s">
        <v>95</v>
      </c>
      <c r="N224" s="20" t="str">
        <f>IF(OR(LEFT('Web Links'!$C224,2)="In",$C224="Error"),"?????",""&amp;C224)</f>
        <v>?????</v>
      </c>
      <c r="O224" s="20" t="str">
        <f>IF(OR(LEFT('Web Links'!$C224,2)="In",$C224="Error"),"??????????",""&amp;D224)</f>
        <v>??????????</v>
      </c>
      <c r="P224" s="20" t="str">
        <f>IF(OR(LEFT('Web Links'!$C224,2)="In",$C224="Error"),"???",IF(LEN(E224)=2,"0",IF(LEN(E224)=1,"00","")))&amp;'Web Links'!E224</f>
        <v>???</v>
      </c>
      <c r="Q224" s="20" t="str">
        <f>IF(OR(LEFT('Web Links'!$C224,2)="In",$C224="Error"),"?????",IF(LEN(G224)=4,"",IF(LEN(G224)=3,"",IF(LEN(G224)=2,"",IF(LEN(G224)=1,"",""))))&amp;'Web Links'!G224)</f>
        <v>?????</v>
      </c>
      <c r="R224" s="20" t="str">
        <f>IF(OR(LEFT('Web Links'!$C224,2)="In",$C224="Error"),"???????????????",""&amp;F224)</f>
        <v>???????????????</v>
      </c>
    </row>
    <row r="225" spans="1:18" x14ac:dyDescent="0.2">
      <c r="A225" s="20">
        <f>IF('GL Template'!B239&lt;&gt;"",'GL Template'!B239,0)</f>
        <v>0</v>
      </c>
      <c r="B225" s="20">
        <f>IF('GL Template'!D239&lt;&gt;"",'GL Template'!D239,0)</f>
        <v>0</v>
      </c>
      <c r="C225" s="20" t="s">
        <v>95</v>
      </c>
      <c r="N225" s="20" t="str">
        <f>IF(OR(LEFT('Web Links'!$C225,2)="In",$C225="Error"),"?????",""&amp;C225)</f>
        <v>?????</v>
      </c>
      <c r="O225" s="20" t="str">
        <f>IF(OR(LEFT('Web Links'!$C225,2)="In",$C225="Error"),"??????????",""&amp;D225)</f>
        <v>??????????</v>
      </c>
      <c r="P225" s="20" t="str">
        <f>IF(OR(LEFT('Web Links'!$C225,2)="In",$C225="Error"),"???",IF(LEN(E225)=2,"0",IF(LEN(E225)=1,"00","")))&amp;'Web Links'!E225</f>
        <v>???</v>
      </c>
      <c r="Q225" s="20" t="str">
        <f>IF(OR(LEFT('Web Links'!$C225,2)="In",$C225="Error"),"?????",IF(LEN(G225)=4,"",IF(LEN(G225)=3,"",IF(LEN(G225)=2,"",IF(LEN(G225)=1,"",""))))&amp;'Web Links'!G225)</f>
        <v>?????</v>
      </c>
      <c r="R225" s="20" t="str">
        <f>IF(OR(LEFT('Web Links'!$C225,2)="In",$C225="Error"),"???????????????",""&amp;F225)</f>
        <v>???????????????</v>
      </c>
    </row>
    <row r="226" spans="1:18" x14ac:dyDescent="0.2">
      <c r="A226" s="20">
        <f>IF('GL Template'!B240&lt;&gt;"",'GL Template'!B240,0)</f>
        <v>0</v>
      </c>
      <c r="B226" s="20">
        <f>IF('GL Template'!D240&lt;&gt;"",'GL Template'!D240,0)</f>
        <v>0</v>
      </c>
      <c r="C226" s="20" t="s">
        <v>95</v>
      </c>
      <c r="N226" s="20" t="str">
        <f>IF(OR(LEFT('Web Links'!$C226,2)="In",$C226="Error"),"?????",""&amp;C226)</f>
        <v>?????</v>
      </c>
      <c r="O226" s="20" t="str">
        <f>IF(OR(LEFT('Web Links'!$C226,2)="In",$C226="Error"),"??????????",""&amp;D226)</f>
        <v>??????????</v>
      </c>
      <c r="P226" s="20" t="str">
        <f>IF(OR(LEFT('Web Links'!$C226,2)="In",$C226="Error"),"???",IF(LEN(E226)=2,"0",IF(LEN(E226)=1,"00","")))&amp;'Web Links'!E226</f>
        <v>???</v>
      </c>
      <c r="Q226" s="20" t="str">
        <f>IF(OR(LEFT('Web Links'!$C226,2)="In",$C226="Error"),"?????",IF(LEN(G226)=4,"",IF(LEN(G226)=3,"",IF(LEN(G226)=2,"",IF(LEN(G226)=1,"",""))))&amp;'Web Links'!G226)</f>
        <v>?????</v>
      </c>
      <c r="R226" s="20" t="str">
        <f>IF(OR(LEFT('Web Links'!$C226,2)="In",$C226="Error"),"???????????????",""&amp;F226)</f>
        <v>???????????????</v>
      </c>
    </row>
    <row r="227" spans="1:18" x14ac:dyDescent="0.2">
      <c r="A227" s="20">
        <f>IF('GL Template'!B241&lt;&gt;"",'GL Template'!B241,0)</f>
        <v>0</v>
      </c>
      <c r="B227" s="20">
        <f>IF('GL Template'!D241&lt;&gt;"",'GL Template'!D241,0)</f>
        <v>0</v>
      </c>
      <c r="C227" s="20" t="s">
        <v>95</v>
      </c>
      <c r="N227" s="20" t="str">
        <f>IF(OR(LEFT('Web Links'!$C227,2)="In",$C227="Error"),"?????",""&amp;C227)</f>
        <v>?????</v>
      </c>
      <c r="O227" s="20" t="str">
        <f>IF(OR(LEFT('Web Links'!$C227,2)="In",$C227="Error"),"??????????",""&amp;D227)</f>
        <v>??????????</v>
      </c>
      <c r="P227" s="20" t="str">
        <f>IF(OR(LEFT('Web Links'!$C227,2)="In",$C227="Error"),"???",IF(LEN(E227)=2,"0",IF(LEN(E227)=1,"00","")))&amp;'Web Links'!E227</f>
        <v>???</v>
      </c>
      <c r="Q227" s="20" t="str">
        <f>IF(OR(LEFT('Web Links'!$C227,2)="In",$C227="Error"),"?????",IF(LEN(G227)=4,"",IF(LEN(G227)=3,"",IF(LEN(G227)=2,"",IF(LEN(G227)=1,"",""))))&amp;'Web Links'!G227)</f>
        <v>?????</v>
      </c>
      <c r="R227" s="20" t="str">
        <f>IF(OR(LEFT('Web Links'!$C227,2)="In",$C227="Error"),"???????????????",""&amp;F227)</f>
        <v>???????????????</v>
      </c>
    </row>
    <row r="228" spans="1:18" x14ac:dyDescent="0.2">
      <c r="A228" s="20">
        <f>IF('GL Template'!B242&lt;&gt;"",'GL Template'!B242,0)</f>
        <v>0</v>
      </c>
      <c r="B228" s="20">
        <f>IF('GL Template'!D242&lt;&gt;"",'GL Template'!D242,0)</f>
        <v>0</v>
      </c>
      <c r="C228" s="20" t="s">
        <v>95</v>
      </c>
      <c r="N228" s="20" t="str">
        <f>IF(OR(LEFT('Web Links'!$C228,2)="In",$C228="Error"),"?????",""&amp;C228)</f>
        <v>?????</v>
      </c>
      <c r="O228" s="20" t="str">
        <f>IF(OR(LEFT('Web Links'!$C228,2)="In",$C228="Error"),"??????????",""&amp;D228)</f>
        <v>??????????</v>
      </c>
      <c r="P228" s="20" t="str">
        <f>IF(OR(LEFT('Web Links'!$C228,2)="In",$C228="Error"),"???",IF(LEN(E228)=2,"0",IF(LEN(E228)=1,"00","")))&amp;'Web Links'!E228</f>
        <v>???</v>
      </c>
      <c r="Q228" s="20" t="str">
        <f>IF(OR(LEFT('Web Links'!$C228,2)="In",$C228="Error"),"?????",IF(LEN(G228)=4,"",IF(LEN(G228)=3,"",IF(LEN(G228)=2,"",IF(LEN(G228)=1,"",""))))&amp;'Web Links'!G228)</f>
        <v>?????</v>
      </c>
      <c r="R228" s="20" t="str">
        <f>IF(OR(LEFT('Web Links'!$C228,2)="In",$C228="Error"),"???????????????",""&amp;F228)</f>
        <v>???????????????</v>
      </c>
    </row>
    <row r="229" spans="1:18" x14ac:dyDescent="0.2">
      <c r="A229" s="20">
        <f>IF('GL Template'!B243&lt;&gt;"",'GL Template'!B243,0)</f>
        <v>0</v>
      </c>
      <c r="B229" s="20">
        <f>IF('GL Template'!D243&lt;&gt;"",'GL Template'!D243,0)</f>
        <v>0</v>
      </c>
      <c r="C229" s="20" t="s">
        <v>95</v>
      </c>
      <c r="N229" s="20" t="str">
        <f>IF(OR(LEFT('Web Links'!$C229,2)="In",$C229="Error"),"?????",""&amp;C229)</f>
        <v>?????</v>
      </c>
      <c r="O229" s="20" t="str">
        <f>IF(OR(LEFT('Web Links'!$C229,2)="In",$C229="Error"),"??????????",""&amp;D229)</f>
        <v>??????????</v>
      </c>
      <c r="P229" s="20" t="str">
        <f>IF(OR(LEFT('Web Links'!$C229,2)="In",$C229="Error"),"???",IF(LEN(E229)=2,"0",IF(LEN(E229)=1,"00","")))&amp;'Web Links'!E229</f>
        <v>???</v>
      </c>
      <c r="Q229" s="20" t="str">
        <f>IF(OR(LEFT('Web Links'!$C229,2)="In",$C229="Error"),"?????",IF(LEN(G229)=4,"",IF(LEN(G229)=3,"",IF(LEN(G229)=2,"",IF(LEN(G229)=1,"",""))))&amp;'Web Links'!G229)</f>
        <v>?????</v>
      </c>
      <c r="R229" s="20" t="str">
        <f>IF(OR(LEFT('Web Links'!$C229,2)="In",$C229="Error"),"???????????????",""&amp;F229)</f>
        <v>???????????????</v>
      </c>
    </row>
    <row r="230" spans="1:18" x14ac:dyDescent="0.2">
      <c r="A230" s="20">
        <f>IF('GL Template'!B244&lt;&gt;"",'GL Template'!B244,0)</f>
        <v>0</v>
      </c>
      <c r="B230" s="20">
        <f>IF('GL Template'!D244&lt;&gt;"",'GL Template'!D244,0)</f>
        <v>0</v>
      </c>
      <c r="C230" s="20" t="s">
        <v>95</v>
      </c>
      <c r="N230" s="20" t="str">
        <f>IF(OR(LEFT('Web Links'!$C230,2)="In",$C230="Error"),"?????",""&amp;C230)</f>
        <v>?????</v>
      </c>
      <c r="O230" s="20" t="str">
        <f>IF(OR(LEFT('Web Links'!$C230,2)="In",$C230="Error"),"??????????",""&amp;D230)</f>
        <v>??????????</v>
      </c>
      <c r="P230" s="20" t="str">
        <f>IF(OR(LEFT('Web Links'!$C230,2)="In",$C230="Error"),"???",IF(LEN(E230)=2,"0",IF(LEN(E230)=1,"00","")))&amp;'Web Links'!E230</f>
        <v>???</v>
      </c>
      <c r="Q230" s="20" t="str">
        <f>IF(OR(LEFT('Web Links'!$C230,2)="In",$C230="Error"),"?????",IF(LEN(G230)=4,"",IF(LEN(G230)=3,"",IF(LEN(G230)=2,"",IF(LEN(G230)=1,"",""))))&amp;'Web Links'!G230)</f>
        <v>?????</v>
      </c>
      <c r="R230" s="20" t="str">
        <f>IF(OR(LEFT('Web Links'!$C230,2)="In",$C230="Error"),"???????????????",""&amp;F230)</f>
        <v>???????????????</v>
      </c>
    </row>
    <row r="231" spans="1:18" x14ac:dyDescent="0.2">
      <c r="A231" s="20">
        <f>IF('GL Template'!B245&lt;&gt;"",'GL Template'!B245,0)</f>
        <v>0</v>
      </c>
      <c r="B231" s="20">
        <f>IF('GL Template'!D245&lt;&gt;"",'GL Template'!D245,0)</f>
        <v>0</v>
      </c>
      <c r="C231" s="20" t="s">
        <v>95</v>
      </c>
      <c r="N231" s="20" t="str">
        <f>IF(OR(LEFT('Web Links'!$C231,2)="In",$C231="Error"),"?????",""&amp;C231)</f>
        <v>?????</v>
      </c>
      <c r="O231" s="20" t="str">
        <f>IF(OR(LEFT('Web Links'!$C231,2)="In",$C231="Error"),"??????????",""&amp;D231)</f>
        <v>??????????</v>
      </c>
      <c r="P231" s="20" t="str">
        <f>IF(OR(LEFT('Web Links'!$C231,2)="In",$C231="Error"),"???",IF(LEN(E231)=2,"0",IF(LEN(E231)=1,"00","")))&amp;'Web Links'!E231</f>
        <v>???</v>
      </c>
      <c r="Q231" s="20" t="str">
        <f>IF(OR(LEFT('Web Links'!$C231,2)="In",$C231="Error"),"?????",IF(LEN(G231)=4,"",IF(LEN(G231)=3,"",IF(LEN(G231)=2,"",IF(LEN(G231)=1,"",""))))&amp;'Web Links'!G231)</f>
        <v>?????</v>
      </c>
      <c r="R231" s="20" t="str">
        <f>IF(OR(LEFT('Web Links'!$C231,2)="In",$C231="Error"),"???????????????",""&amp;F231)</f>
        <v>???????????????</v>
      </c>
    </row>
    <row r="232" spans="1:18" x14ac:dyDescent="0.2">
      <c r="A232" s="20">
        <f>IF('GL Template'!B246&lt;&gt;"",'GL Template'!B246,0)</f>
        <v>0</v>
      </c>
      <c r="B232" s="20">
        <f>IF('GL Template'!D246&lt;&gt;"",'GL Template'!D246,0)</f>
        <v>0</v>
      </c>
      <c r="C232" s="20" t="s">
        <v>95</v>
      </c>
      <c r="N232" s="20" t="str">
        <f>IF(OR(LEFT('Web Links'!$C232,2)="In",$C232="Error"),"?????",""&amp;C232)</f>
        <v>?????</v>
      </c>
      <c r="O232" s="20" t="str">
        <f>IF(OR(LEFT('Web Links'!$C232,2)="In",$C232="Error"),"??????????",""&amp;D232)</f>
        <v>??????????</v>
      </c>
      <c r="P232" s="20" t="str">
        <f>IF(OR(LEFT('Web Links'!$C232,2)="In",$C232="Error"),"???",IF(LEN(E232)=2,"0",IF(LEN(E232)=1,"00","")))&amp;'Web Links'!E232</f>
        <v>???</v>
      </c>
      <c r="Q232" s="20" t="str">
        <f>IF(OR(LEFT('Web Links'!$C232,2)="In",$C232="Error"),"?????",IF(LEN(G232)=4,"",IF(LEN(G232)=3,"",IF(LEN(G232)=2,"",IF(LEN(G232)=1,"",""))))&amp;'Web Links'!G232)</f>
        <v>?????</v>
      </c>
      <c r="R232" s="20" t="str">
        <f>IF(OR(LEFT('Web Links'!$C232,2)="In",$C232="Error"),"???????????????",""&amp;F232)</f>
        <v>???????????????</v>
      </c>
    </row>
    <row r="233" spans="1:18" x14ac:dyDescent="0.2">
      <c r="A233" s="20">
        <f>IF('GL Template'!B247&lt;&gt;"",'GL Template'!B247,0)</f>
        <v>0</v>
      </c>
      <c r="B233" s="20">
        <f>IF('GL Template'!D247&lt;&gt;"",'GL Template'!D247,0)</f>
        <v>0</v>
      </c>
      <c r="C233" s="20" t="s">
        <v>95</v>
      </c>
      <c r="N233" s="20" t="str">
        <f>IF(OR(LEFT('Web Links'!$C233,2)="In",$C233="Error"),"?????",""&amp;C233)</f>
        <v>?????</v>
      </c>
      <c r="O233" s="20" t="str">
        <f>IF(OR(LEFT('Web Links'!$C233,2)="In",$C233="Error"),"??????????",""&amp;D233)</f>
        <v>??????????</v>
      </c>
      <c r="P233" s="20" t="str">
        <f>IF(OR(LEFT('Web Links'!$C233,2)="In",$C233="Error"),"???",IF(LEN(E233)=2,"0",IF(LEN(E233)=1,"00","")))&amp;'Web Links'!E233</f>
        <v>???</v>
      </c>
      <c r="Q233" s="20" t="str">
        <f>IF(OR(LEFT('Web Links'!$C233,2)="In",$C233="Error"),"?????",IF(LEN(G233)=4,"",IF(LEN(G233)=3,"",IF(LEN(G233)=2,"",IF(LEN(G233)=1,"",""))))&amp;'Web Links'!G233)</f>
        <v>?????</v>
      </c>
      <c r="R233" s="20" t="str">
        <f>IF(OR(LEFT('Web Links'!$C233,2)="In",$C233="Error"),"???????????????",""&amp;F233)</f>
        <v>???????????????</v>
      </c>
    </row>
    <row r="234" spans="1:18" x14ac:dyDescent="0.2">
      <c r="A234" s="20">
        <f>IF('GL Template'!B248&lt;&gt;"",'GL Template'!B248,0)</f>
        <v>0</v>
      </c>
      <c r="B234" s="20">
        <f>IF('GL Template'!D248&lt;&gt;"",'GL Template'!D248,0)</f>
        <v>0</v>
      </c>
      <c r="C234" s="20" t="s">
        <v>95</v>
      </c>
      <c r="N234" s="20" t="str">
        <f>IF(OR(LEFT('Web Links'!$C234,2)="In",$C234="Error"),"?????",""&amp;C234)</f>
        <v>?????</v>
      </c>
      <c r="O234" s="20" t="str">
        <f>IF(OR(LEFT('Web Links'!$C234,2)="In",$C234="Error"),"??????????",""&amp;D234)</f>
        <v>??????????</v>
      </c>
      <c r="P234" s="20" t="str">
        <f>IF(OR(LEFT('Web Links'!$C234,2)="In",$C234="Error"),"???",IF(LEN(E234)=2,"0",IF(LEN(E234)=1,"00","")))&amp;'Web Links'!E234</f>
        <v>???</v>
      </c>
      <c r="Q234" s="20" t="str">
        <f>IF(OR(LEFT('Web Links'!$C234,2)="In",$C234="Error"),"?????",IF(LEN(G234)=4,"",IF(LEN(G234)=3,"",IF(LEN(G234)=2,"",IF(LEN(G234)=1,"",""))))&amp;'Web Links'!G234)</f>
        <v>?????</v>
      </c>
      <c r="R234" s="20" t="str">
        <f>IF(OR(LEFT('Web Links'!$C234,2)="In",$C234="Error"),"???????????????",""&amp;F234)</f>
        <v>???????????????</v>
      </c>
    </row>
    <row r="235" spans="1:18" x14ac:dyDescent="0.2">
      <c r="A235" s="20">
        <f>IF('GL Template'!B249&lt;&gt;"",'GL Template'!B249,0)</f>
        <v>0</v>
      </c>
      <c r="B235" s="20">
        <f>IF('GL Template'!D249&lt;&gt;"",'GL Template'!D249,0)</f>
        <v>0</v>
      </c>
      <c r="C235" s="20" t="s">
        <v>95</v>
      </c>
      <c r="N235" s="20" t="str">
        <f>IF(OR(LEFT('Web Links'!$C235,2)="In",$C235="Error"),"?????",""&amp;C235)</f>
        <v>?????</v>
      </c>
      <c r="O235" s="20" t="str">
        <f>IF(OR(LEFT('Web Links'!$C235,2)="In",$C235="Error"),"??????????",""&amp;D235)</f>
        <v>??????????</v>
      </c>
      <c r="P235" s="20" t="str">
        <f>IF(OR(LEFT('Web Links'!$C235,2)="In",$C235="Error"),"???",IF(LEN(E235)=2,"0",IF(LEN(E235)=1,"00","")))&amp;'Web Links'!E235</f>
        <v>???</v>
      </c>
      <c r="Q235" s="20" t="str">
        <f>IF(OR(LEFT('Web Links'!$C235,2)="In",$C235="Error"),"?????",IF(LEN(G235)=4,"",IF(LEN(G235)=3,"",IF(LEN(G235)=2,"",IF(LEN(G235)=1,"",""))))&amp;'Web Links'!G235)</f>
        <v>?????</v>
      </c>
      <c r="R235" s="20" t="str">
        <f>IF(OR(LEFT('Web Links'!$C235,2)="In",$C235="Error"),"???????????????",""&amp;F235)</f>
        <v>???????????????</v>
      </c>
    </row>
    <row r="236" spans="1:18" x14ac:dyDescent="0.2">
      <c r="A236" s="20">
        <f>IF('GL Template'!B250&lt;&gt;"",'GL Template'!B250,0)</f>
        <v>0</v>
      </c>
      <c r="B236" s="20">
        <f>IF('GL Template'!D250&lt;&gt;"",'GL Template'!D250,0)</f>
        <v>0</v>
      </c>
      <c r="C236" s="20" t="s">
        <v>95</v>
      </c>
      <c r="N236" s="20" t="str">
        <f>IF(OR(LEFT('Web Links'!$C236,2)="In",$C236="Error"),"?????",""&amp;C236)</f>
        <v>?????</v>
      </c>
      <c r="O236" s="20" t="str">
        <f>IF(OR(LEFT('Web Links'!$C236,2)="In",$C236="Error"),"??????????",""&amp;D236)</f>
        <v>??????????</v>
      </c>
      <c r="P236" s="20" t="str">
        <f>IF(OR(LEFT('Web Links'!$C236,2)="In",$C236="Error"),"???",IF(LEN(E236)=2,"0",IF(LEN(E236)=1,"00","")))&amp;'Web Links'!E236</f>
        <v>???</v>
      </c>
      <c r="Q236" s="20" t="str">
        <f>IF(OR(LEFT('Web Links'!$C236,2)="In",$C236="Error"),"?????",IF(LEN(G236)=4,"",IF(LEN(G236)=3,"",IF(LEN(G236)=2,"",IF(LEN(G236)=1,"",""))))&amp;'Web Links'!G236)</f>
        <v>?????</v>
      </c>
      <c r="R236" s="20" t="str">
        <f>IF(OR(LEFT('Web Links'!$C236,2)="In",$C236="Error"),"???????????????",""&amp;F236)</f>
        <v>???????????????</v>
      </c>
    </row>
    <row r="237" spans="1:18" x14ac:dyDescent="0.2">
      <c r="A237" s="20">
        <f>IF('GL Template'!B251&lt;&gt;"",'GL Template'!B251,0)</f>
        <v>0</v>
      </c>
      <c r="B237" s="20">
        <f>IF('GL Template'!D251&lt;&gt;"",'GL Template'!D251,0)</f>
        <v>0</v>
      </c>
      <c r="C237" s="20" t="s">
        <v>95</v>
      </c>
      <c r="N237" s="20" t="str">
        <f>IF(OR(LEFT('Web Links'!$C237,2)="In",$C237="Error"),"?????",""&amp;C237)</f>
        <v>?????</v>
      </c>
      <c r="O237" s="20" t="str">
        <f>IF(OR(LEFT('Web Links'!$C237,2)="In",$C237="Error"),"??????????",""&amp;D237)</f>
        <v>??????????</v>
      </c>
      <c r="P237" s="20" t="str">
        <f>IF(OR(LEFT('Web Links'!$C237,2)="In",$C237="Error"),"???",IF(LEN(E237)=2,"0",IF(LEN(E237)=1,"00","")))&amp;'Web Links'!E237</f>
        <v>???</v>
      </c>
      <c r="Q237" s="20" t="str">
        <f>IF(OR(LEFT('Web Links'!$C237,2)="In",$C237="Error"),"?????",IF(LEN(G237)=4,"",IF(LEN(G237)=3,"",IF(LEN(G237)=2,"",IF(LEN(G237)=1,"",""))))&amp;'Web Links'!G237)</f>
        <v>?????</v>
      </c>
      <c r="R237" s="20" t="str">
        <f>IF(OR(LEFT('Web Links'!$C237,2)="In",$C237="Error"),"???????????????",""&amp;F237)</f>
        <v>???????????????</v>
      </c>
    </row>
    <row r="238" spans="1:18" x14ac:dyDescent="0.2">
      <c r="A238" s="20">
        <f>IF('GL Template'!B252&lt;&gt;"",'GL Template'!B252,0)</f>
        <v>0</v>
      </c>
      <c r="B238" s="20">
        <f>IF('GL Template'!D252&lt;&gt;"",'GL Template'!D252,0)</f>
        <v>0</v>
      </c>
      <c r="C238" s="20" t="s">
        <v>95</v>
      </c>
      <c r="N238" s="20" t="str">
        <f>IF(OR(LEFT('Web Links'!$C238,2)="In",$C238="Error"),"?????",""&amp;C238)</f>
        <v>?????</v>
      </c>
      <c r="O238" s="20" t="str">
        <f>IF(OR(LEFT('Web Links'!$C238,2)="In",$C238="Error"),"??????????",""&amp;D238)</f>
        <v>??????????</v>
      </c>
      <c r="P238" s="20" t="str">
        <f>IF(OR(LEFT('Web Links'!$C238,2)="In",$C238="Error"),"???",IF(LEN(E238)=2,"0",IF(LEN(E238)=1,"00","")))&amp;'Web Links'!E238</f>
        <v>???</v>
      </c>
      <c r="Q238" s="20" t="str">
        <f>IF(OR(LEFT('Web Links'!$C238,2)="In",$C238="Error"),"?????",IF(LEN(G238)=4,"",IF(LEN(G238)=3,"",IF(LEN(G238)=2,"",IF(LEN(G238)=1,"",""))))&amp;'Web Links'!G238)</f>
        <v>?????</v>
      </c>
      <c r="R238" s="20" t="str">
        <f>IF(OR(LEFT('Web Links'!$C238,2)="In",$C238="Error"),"???????????????",""&amp;F238)</f>
        <v>???????????????</v>
      </c>
    </row>
    <row r="239" spans="1:18" x14ac:dyDescent="0.2">
      <c r="A239" s="20">
        <f>IF('GL Template'!B253&lt;&gt;"",'GL Template'!B253,0)</f>
        <v>0</v>
      </c>
      <c r="B239" s="20">
        <f>IF('GL Template'!D253&lt;&gt;"",'GL Template'!D253,0)</f>
        <v>0</v>
      </c>
      <c r="C239" s="20" t="s">
        <v>95</v>
      </c>
      <c r="N239" s="20" t="str">
        <f>IF(OR(LEFT('Web Links'!$C239,2)="In",$C239="Error"),"?????",""&amp;C239)</f>
        <v>?????</v>
      </c>
      <c r="O239" s="20" t="str">
        <f>IF(OR(LEFT('Web Links'!$C239,2)="In",$C239="Error"),"??????????",""&amp;D239)</f>
        <v>??????????</v>
      </c>
      <c r="P239" s="20" t="str">
        <f>IF(OR(LEFT('Web Links'!$C239,2)="In",$C239="Error"),"???",IF(LEN(E239)=2,"0",IF(LEN(E239)=1,"00","")))&amp;'Web Links'!E239</f>
        <v>???</v>
      </c>
      <c r="Q239" s="20" t="str">
        <f>IF(OR(LEFT('Web Links'!$C239,2)="In",$C239="Error"),"?????",IF(LEN(G239)=4,"",IF(LEN(G239)=3,"",IF(LEN(G239)=2,"",IF(LEN(G239)=1,"",""))))&amp;'Web Links'!G239)</f>
        <v>?????</v>
      </c>
      <c r="R239" s="20" t="str">
        <f>IF(OR(LEFT('Web Links'!$C239,2)="In",$C239="Error"),"???????????????",""&amp;F239)</f>
        <v>???????????????</v>
      </c>
    </row>
    <row r="240" spans="1:18" x14ac:dyDescent="0.2">
      <c r="A240" s="20">
        <f>IF('GL Template'!B254&lt;&gt;"",'GL Template'!B254,0)</f>
        <v>0</v>
      </c>
      <c r="B240" s="20">
        <f>IF('GL Template'!D254&lt;&gt;"",'GL Template'!D254,0)</f>
        <v>0</v>
      </c>
      <c r="C240" s="20" t="s">
        <v>95</v>
      </c>
      <c r="N240" s="20" t="str">
        <f>IF(OR(LEFT('Web Links'!$C240,2)="In",$C240="Error"),"?????",""&amp;C240)</f>
        <v>?????</v>
      </c>
      <c r="O240" s="20" t="str">
        <f>IF(OR(LEFT('Web Links'!$C240,2)="In",$C240="Error"),"??????????",""&amp;D240)</f>
        <v>??????????</v>
      </c>
      <c r="P240" s="20" t="str">
        <f>IF(OR(LEFT('Web Links'!$C240,2)="In",$C240="Error"),"???",IF(LEN(E240)=2,"0",IF(LEN(E240)=1,"00","")))&amp;'Web Links'!E240</f>
        <v>???</v>
      </c>
      <c r="Q240" s="20" t="str">
        <f>IF(OR(LEFT('Web Links'!$C240,2)="In",$C240="Error"),"?????",IF(LEN(G240)=4,"",IF(LEN(G240)=3,"",IF(LEN(G240)=2,"",IF(LEN(G240)=1,"",""))))&amp;'Web Links'!G240)</f>
        <v>?????</v>
      </c>
      <c r="R240" s="20" t="str">
        <f>IF(OR(LEFT('Web Links'!$C240,2)="In",$C240="Error"),"???????????????",""&amp;F240)</f>
        <v>???????????????</v>
      </c>
    </row>
    <row r="241" spans="1:18" x14ac:dyDescent="0.2">
      <c r="A241" s="20">
        <f>IF('GL Template'!B255&lt;&gt;"",'GL Template'!B255,0)</f>
        <v>0</v>
      </c>
      <c r="B241" s="20">
        <f>IF('GL Template'!D255&lt;&gt;"",'GL Template'!D255,0)</f>
        <v>0</v>
      </c>
      <c r="C241" s="20" t="s">
        <v>95</v>
      </c>
      <c r="N241" s="20" t="str">
        <f>IF(OR(LEFT('Web Links'!$C241,2)="In",$C241="Error"),"?????",""&amp;C241)</f>
        <v>?????</v>
      </c>
      <c r="O241" s="20" t="str">
        <f>IF(OR(LEFT('Web Links'!$C241,2)="In",$C241="Error"),"??????????",""&amp;D241)</f>
        <v>??????????</v>
      </c>
      <c r="P241" s="20" t="str">
        <f>IF(OR(LEFT('Web Links'!$C241,2)="In",$C241="Error"),"???",IF(LEN(E241)=2,"0",IF(LEN(E241)=1,"00","")))&amp;'Web Links'!E241</f>
        <v>???</v>
      </c>
      <c r="Q241" s="20" t="str">
        <f>IF(OR(LEFT('Web Links'!$C241,2)="In",$C241="Error"),"?????",IF(LEN(G241)=4,"",IF(LEN(G241)=3,"",IF(LEN(G241)=2,"",IF(LEN(G241)=1,"",""))))&amp;'Web Links'!G241)</f>
        <v>?????</v>
      </c>
      <c r="R241" s="20" t="str">
        <f>IF(OR(LEFT('Web Links'!$C241,2)="In",$C241="Error"),"???????????????",""&amp;F241)</f>
        <v>???????????????</v>
      </c>
    </row>
    <row r="242" spans="1:18" x14ac:dyDescent="0.2">
      <c r="A242" s="20">
        <f>IF('GL Template'!B256&lt;&gt;"",'GL Template'!B256,0)</f>
        <v>0</v>
      </c>
      <c r="B242" s="20">
        <f>IF('GL Template'!D256&lt;&gt;"",'GL Template'!D256,0)</f>
        <v>0</v>
      </c>
      <c r="C242" s="20" t="s">
        <v>95</v>
      </c>
      <c r="N242" s="20" t="str">
        <f>IF(OR(LEFT('Web Links'!$C242,2)="In",$C242="Error"),"?????",""&amp;C242)</f>
        <v>?????</v>
      </c>
      <c r="O242" s="20" t="str">
        <f>IF(OR(LEFT('Web Links'!$C242,2)="In",$C242="Error"),"??????????",""&amp;D242)</f>
        <v>??????????</v>
      </c>
      <c r="P242" s="20" t="str">
        <f>IF(OR(LEFT('Web Links'!$C242,2)="In",$C242="Error"),"???",IF(LEN(E242)=2,"0",IF(LEN(E242)=1,"00","")))&amp;'Web Links'!E242</f>
        <v>???</v>
      </c>
      <c r="Q242" s="20" t="str">
        <f>IF(OR(LEFT('Web Links'!$C242,2)="In",$C242="Error"),"?????",IF(LEN(G242)=4,"",IF(LEN(G242)=3,"",IF(LEN(G242)=2,"",IF(LEN(G242)=1,"",""))))&amp;'Web Links'!G242)</f>
        <v>?????</v>
      </c>
      <c r="R242" s="20" t="str">
        <f>IF(OR(LEFT('Web Links'!$C242,2)="In",$C242="Error"),"???????????????",""&amp;F242)</f>
        <v>???????????????</v>
      </c>
    </row>
    <row r="243" spans="1:18" x14ac:dyDescent="0.2">
      <c r="A243" s="20">
        <f>IF('GL Template'!B257&lt;&gt;"",'GL Template'!B257,0)</f>
        <v>0</v>
      </c>
      <c r="B243" s="20">
        <f>IF('GL Template'!D257&lt;&gt;"",'GL Template'!D257,0)</f>
        <v>0</v>
      </c>
      <c r="C243" s="20" t="s">
        <v>95</v>
      </c>
      <c r="N243" s="20" t="str">
        <f>IF(OR(LEFT('Web Links'!$C243,2)="In",$C243="Error"),"?????",""&amp;C243)</f>
        <v>?????</v>
      </c>
      <c r="O243" s="20" t="str">
        <f>IF(OR(LEFT('Web Links'!$C243,2)="In",$C243="Error"),"??????????",""&amp;D243)</f>
        <v>??????????</v>
      </c>
      <c r="P243" s="20" t="str">
        <f>IF(OR(LEFT('Web Links'!$C243,2)="In",$C243="Error"),"???",IF(LEN(E243)=2,"0",IF(LEN(E243)=1,"00","")))&amp;'Web Links'!E243</f>
        <v>???</v>
      </c>
      <c r="Q243" s="20" t="str">
        <f>IF(OR(LEFT('Web Links'!$C243,2)="In",$C243="Error"),"?????",IF(LEN(G243)=4,"",IF(LEN(G243)=3,"",IF(LEN(G243)=2,"",IF(LEN(G243)=1,"",""))))&amp;'Web Links'!G243)</f>
        <v>?????</v>
      </c>
      <c r="R243" s="20" t="str">
        <f>IF(OR(LEFT('Web Links'!$C243,2)="In",$C243="Error"),"???????????????",""&amp;F243)</f>
        <v>???????????????</v>
      </c>
    </row>
    <row r="244" spans="1:18" x14ac:dyDescent="0.2">
      <c r="A244" s="20">
        <f>IF('GL Template'!B258&lt;&gt;"",'GL Template'!B258,0)</f>
        <v>0</v>
      </c>
      <c r="B244" s="20">
        <f>IF('GL Template'!D258&lt;&gt;"",'GL Template'!D258,0)</f>
        <v>0</v>
      </c>
      <c r="C244" s="20" t="s">
        <v>95</v>
      </c>
      <c r="N244" s="20" t="str">
        <f>IF(OR(LEFT('Web Links'!$C244,2)="In",$C244="Error"),"?????",""&amp;C244)</f>
        <v>?????</v>
      </c>
      <c r="O244" s="20" t="str">
        <f>IF(OR(LEFT('Web Links'!$C244,2)="In",$C244="Error"),"??????????",""&amp;D244)</f>
        <v>??????????</v>
      </c>
      <c r="P244" s="20" t="str">
        <f>IF(OR(LEFT('Web Links'!$C244,2)="In",$C244="Error"),"???",IF(LEN(E244)=2,"0",IF(LEN(E244)=1,"00","")))&amp;'Web Links'!E244</f>
        <v>???</v>
      </c>
      <c r="Q244" s="20" t="str">
        <f>IF(OR(LEFT('Web Links'!$C244,2)="In",$C244="Error"),"?????",IF(LEN(G244)=4,"",IF(LEN(G244)=3,"",IF(LEN(G244)=2,"",IF(LEN(G244)=1,"",""))))&amp;'Web Links'!G244)</f>
        <v>?????</v>
      </c>
      <c r="R244" s="20" t="str">
        <f>IF(OR(LEFT('Web Links'!$C244,2)="In",$C244="Error"),"???????????????",""&amp;F244)</f>
        <v>???????????????</v>
      </c>
    </row>
    <row r="245" spans="1:18" x14ac:dyDescent="0.2">
      <c r="A245" s="20">
        <f>IF('GL Template'!B259&lt;&gt;"",'GL Template'!B259,0)</f>
        <v>0</v>
      </c>
      <c r="B245" s="20">
        <f>IF('GL Template'!D259&lt;&gt;"",'GL Template'!D259,0)</f>
        <v>0</v>
      </c>
      <c r="C245" s="20" t="s">
        <v>95</v>
      </c>
      <c r="N245" s="20" t="str">
        <f>IF(OR(LEFT('Web Links'!$C245,2)="In",$C245="Error"),"?????",""&amp;C245)</f>
        <v>?????</v>
      </c>
      <c r="O245" s="20" t="str">
        <f>IF(OR(LEFT('Web Links'!$C245,2)="In",$C245="Error"),"??????????",""&amp;D245)</f>
        <v>??????????</v>
      </c>
      <c r="P245" s="20" t="str">
        <f>IF(OR(LEFT('Web Links'!$C245,2)="In",$C245="Error"),"???",IF(LEN(E245)=2,"0",IF(LEN(E245)=1,"00","")))&amp;'Web Links'!E245</f>
        <v>???</v>
      </c>
      <c r="Q245" s="20" t="str">
        <f>IF(OR(LEFT('Web Links'!$C245,2)="In",$C245="Error"),"?????",IF(LEN(G245)=4,"",IF(LEN(G245)=3,"",IF(LEN(G245)=2,"",IF(LEN(G245)=1,"",""))))&amp;'Web Links'!G245)</f>
        <v>?????</v>
      </c>
      <c r="R245" s="20" t="str">
        <f>IF(OR(LEFT('Web Links'!$C245,2)="In",$C245="Error"),"???????????????",""&amp;F245)</f>
        <v>???????????????</v>
      </c>
    </row>
    <row r="246" spans="1:18" x14ac:dyDescent="0.2">
      <c r="A246" s="20">
        <f>IF('GL Template'!B260&lt;&gt;"",'GL Template'!B260,0)</f>
        <v>0</v>
      </c>
      <c r="B246" s="20">
        <f>IF('GL Template'!D260&lt;&gt;"",'GL Template'!D260,0)</f>
        <v>0</v>
      </c>
      <c r="C246" s="20" t="s">
        <v>95</v>
      </c>
      <c r="N246" s="20" t="str">
        <f>IF(OR(LEFT('Web Links'!$C246,2)="In",$C246="Error"),"?????",""&amp;C246)</f>
        <v>?????</v>
      </c>
      <c r="O246" s="20" t="str">
        <f>IF(OR(LEFT('Web Links'!$C246,2)="In",$C246="Error"),"??????????",""&amp;D246)</f>
        <v>??????????</v>
      </c>
      <c r="P246" s="20" t="str">
        <f>IF(OR(LEFT('Web Links'!$C246,2)="In",$C246="Error"),"???",IF(LEN(E246)=2,"0",IF(LEN(E246)=1,"00","")))&amp;'Web Links'!E246</f>
        <v>???</v>
      </c>
      <c r="Q246" s="20" t="str">
        <f>IF(OR(LEFT('Web Links'!$C246,2)="In",$C246="Error"),"?????",IF(LEN(G246)=4,"",IF(LEN(G246)=3,"",IF(LEN(G246)=2,"",IF(LEN(G246)=1,"",""))))&amp;'Web Links'!G246)</f>
        <v>?????</v>
      </c>
      <c r="R246" s="20" t="str">
        <f>IF(OR(LEFT('Web Links'!$C246,2)="In",$C246="Error"),"???????????????",""&amp;F246)</f>
        <v>???????????????</v>
      </c>
    </row>
    <row r="247" spans="1:18" x14ac:dyDescent="0.2">
      <c r="A247" s="20">
        <f>IF('GL Template'!B261&lt;&gt;"",'GL Template'!B261,0)</f>
        <v>0</v>
      </c>
      <c r="B247" s="20">
        <f>IF('GL Template'!D261&lt;&gt;"",'GL Template'!D261,0)</f>
        <v>0</v>
      </c>
      <c r="C247" s="20" t="s">
        <v>95</v>
      </c>
      <c r="N247" s="20" t="str">
        <f>IF(OR(LEFT('Web Links'!$C247,2)="In",$C247="Error"),"?????",""&amp;C247)</f>
        <v>?????</v>
      </c>
      <c r="O247" s="20" t="str">
        <f>IF(OR(LEFT('Web Links'!$C247,2)="In",$C247="Error"),"??????????",""&amp;D247)</f>
        <v>??????????</v>
      </c>
      <c r="P247" s="20" t="str">
        <f>IF(OR(LEFT('Web Links'!$C247,2)="In",$C247="Error"),"???",IF(LEN(E247)=2,"0",IF(LEN(E247)=1,"00","")))&amp;'Web Links'!E247</f>
        <v>???</v>
      </c>
      <c r="Q247" s="20" t="str">
        <f>IF(OR(LEFT('Web Links'!$C247,2)="In",$C247="Error"),"?????",IF(LEN(G247)=4,"",IF(LEN(G247)=3,"",IF(LEN(G247)=2,"",IF(LEN(G247)=1,"",""))))&amp;'Web Links'!G247)</f>
        <v>?????</v>
      </c>
      <c r="R247" s="20" t="str">
        <f>IF(OR(LEFT('Web Links'!$C247,2)="In",$C247="Error"),"???????????????",""&amp;F247)</f>
        <v>???????????????</v>
      </c>
    </row>
    <row r="248" spans="1:18" x14ac:dyDescent="0.2">
      <c r="A248" s="20">
        <f>IF('GL Template'!B262&lt;&gt;"",'GL Template'!B262,0)</f>
        <v>0</v>
      </c>
      <c r="B248" s="20">
        <f>IF('GL Template'!D262&lt;&gt;"",'GL Template'!D262,0)</f>
        <v>0</v>
      </c>
      <c r="C248" s="20" t="s">
        <v>95</v>
      </c>
      <c r="N248" s="20" t="str">
        <f>IF(OR(LEFT('Web Links'!$C248,2)="In",$C248="Error"),"?????",""&amp;C248)</f>
        <v>?????</v>
      </c>
      <c r="O248" s="20" t="str">
        <f>IF(OR(LEFT('Web Links'!$C248,2)="In",$C248="Error"),"??????????",""&amp;D248)</f>
        <v>??????????</v>
      </c>
      <c r="P248" s="20" t="str">
        <f>IF(OR(LEFT('Web Links'!$C248,2)="In",$C248="Error"),"???",IF(LEN(E248)=2,"0",IF(LEN(E248)=1,"00","")))&amp;'Web Links'!E248</f>
        <v>???</v>
      </c>
      <c r="Q248" s="20" t="str">
        <f>IF(OR(LEFT('Web Links'!$C248,2)="In",$C248="Error"),"?????",IF(LEN(G248)=4,"",IF(LEN(G248)=3,"",IF(LEN(G248)=2,"",IF(LEN(G248)=1,"",""))))&amp;'Web Links'!G248)</f>
        <v>?????</v>
      </c>
      <c r="R248" s="20" t="str">
        <f>IF(OR(LEFT('Web Links'!$C248,2)="In",$C248="Error"),"???????????????",""&amp;F248)</f>
        <v>???????????????</v>
      </c>
    </row>
    <row r="249" spans="1:18" x14ac:dyDescent="0.2">
      <c r="A249" s="20">
        <f>IF('GL Template'!B263&lt;&gt;"",'GL Template'!B263,0)</f>
        <v>0</v>
      </c>
      <c r="B249" s="20">
        <f>IF('GL Template'!D263&lt;&gt;"",'GL Template'!D263,0)</f>
        <v>0</v>
      </c>
      <c r="C249" s="20" t="s">
        <v>95</v>
      </c>
      <c r="N249" s="20" t="str">
        <f>IF(OR(LEFT('Web Links'!$C249,2)="In",$C249="Error"),"?????",""&amp;C249)</f>
        <v>?????</v>
      </c>
      <c r="O249" s="20" t="str">
        <f>IF(OR(LEFT('Web Links'!$C249,2)="In",$C249="Error"),"??????????",""&amp;D249)</f>
        <v>??????????</v>
      </c>
      <c r="P249" s="20" t="str">
        <f>IF(OR(LEFT('Web Links'!$C249,2)="In",$C249="Error"),"???",IF(LEN(E249)=2,"0",IF(LEN(E249)=1,"00","")))&amp;'Web Links'!E249</f>
        <v>???</v>
      </c>
      <c r="Q249" s="20" t="str">
        <f>IF(OR(LEFT('Web Links'!$C249,2)="In",$C249="Error"),"?????",IF(LEN(G249)=4,"",IF(LEN(G249)=3,"",IF(LEN(G249)=2,"",IF(LEN(G249)=1,"",""))))&amp;'Web Links'!G249)</f>
        <v>?????</v>
      </c>
      <c r="R249" s="20" t="str">
        <f>IF(OR(LEFT('Web Links'!$C249,2)="In",$C249="Error"),"???????????????",""&amp;F249)</f>
        <v>???????????????</v>
      </c>
    </row>
    <row r="250" spans="1:18" x14ac:dyDescent="0.2">
      <c r="A250" s="20">
        <f>IF('GL Template'!B264&lt;&gt;"",'GL Template'!B264,0)</f>
        <v>0</v>
      </c>
      <c r="B250" s="20">
        <f>IF('GL Template'!D264&lt;&gt;"",'GL Template'!D264,0)</f>
        <v>0</v>
      </c>
      <c r="C250" s="20" t="s">
        <v>95</v>
      </c>
      <c r="N250" s="20" t="str">
        <f>IF(OR(LEFT('Web Links'!$C250,2)="In",$C250="Error"),"?????",""&amp;C250)</f>
        <v>?????</v>
      </c>
      <c r="O250" s="20" t="str">
        <f>IF(OR(LEFT('Web Links'!$C250,2)="In",$C250="Error"),"??????????",""&amp;D250)</f>
        <v>??????????</v>
      </c>
      <c r="P250" s="20" t="str">
        <f>IF(OR(LEFT('Web Links'!$C250,2)="In",$C250="Error"),"???",IF(LEN(E250)=2,"0",IF(LEN(E250)=1,"00","")))&amp;'Web Links'!E250</f>
        <v>???</v>
      </c>
      <c r="Q250" s="20" t="str">
        <f>IF(OR(LEFT('Web Links'!$C250,2)="In",$C250="Error"),"?????",IF(LEN(G250)=4,"",IF(LEN(G250)=3,"",IF(LEN(G250)=2,"",IF(LEN(G250)=1,"",""))))&amp;'Web Links'!G250)</f>
        <v>?????</v>
      </c>
      <c r="R250" s="20" t="str">
        <f>IF(OR(LEFT('Web Links'!$C250,2)="In",$C250="Error"),"???????????????",""&amp;F250)</f>
        <v>???????????????</v>
      </c>
    </row>
    <row r="251" spans="1:18" x14ac:dyDescent="0.2">
      <c r="A251" s="20">
        <f>IF('GL Template'!B265&lt;&gt;"",'GL Template'!B265,0)</f>
        <v>0</v>
      </c>
      <c r="B251" s="20">
        <f>IF('GL Template'!D265&lt;&gt;"",'GL Template'!D265,0)</f>
        <v>0</v>
      </c>
      <c r="C251" s="20" t="s">
        <v>95</v>
      </c>
      <c r="N251" s="20" t="str">
        <f>IF(OR(LEFT('Web Links'!$C251,2)="In",$C251="Error"),"?????",""&amp;C251)</f>
        <v>?????</v>
      </c>
      <c r="O251" s="20" t="str">
        <f>IF(OR(LEFT('Web Links'!$C251,2)="In",$C251="Error"),"??????????",""&amp;D251)</f>
        <v>??????????</v>
      </c>
      <c r="P251" s="20" t="str">
        <f>IF(OR(LEFT('Web Links'!$C251,2)="In",$C251="Error"),"???",IF(LEN(E251)=2,"0",IF(LEN(E251)=1,"00","")))&amp;'Web Links'!E251</f>
        <v>???</v>
      </c>
      <c r="Q251" s="20" t="str">
        <f>IF(OR(LEFT('Web Links'!$C251,2)="In",$C251="Error"),"?????",IF(LEN(G251)=4,"",IF(LEN(G251)=3,"",IF(LEN(G251)=2,"",IF(LEN(G251)=1,"",""))))&amp;'Web Links'!G251)</f>
        <v>?????</v>
      </c>
      <c r="R251" s="20" t="str">
        <f>IF(OR(LEFT('Web Links'!$C251,2)="In",$C251="Error"),"???????????????",""&amp;F251)</f>
        <v>???????????????</v>
      </c>
    </row>
    <row r="252" spans="1:18" x14ac:dyDescent="0.2">
      <c r="A252" s="20">
        <f>IF('GL Template'!B266&lt;&gt;"",'GL Template'!B266,0)</f>
        <v>0</v>
      </c>
      <c r="B252" s="20">
        <f>IF('GL Template'!D266&lt;&gt;"",'GL Template'!D266,0)</f>
        <v>0</v>
      </c>
      <c r="C252" s="20" t="s">
        <v>95</v>
      </c>
      <c r="N252" s="20" t="str">
        <f>IF(OR(LEFT('Web Links'!$C252,2)="In",$C252="Error"),"?????",""&amp;C252)</f>
        <v>?????</v>
      </c>
      <c r="O252" s="20" t="str">
        <f>IF(OR(LEFT('Web Links'!$C252,2)="In",$C252="Error"),"??????????",""&amp;D252)</f>
        <v>??????????</v>
      </c>
      <c r="P252" s="20" t="str">
        <f>IF(OR(LEFT('Web Links'!$C252,2)="In",$C252="Error"),"???",IF(LEN(E252)=2,"0",IF(LEN(E252)=1,"00","")))&amp;'Web Links'!E252</f>
        <v>???</v>
      </c>
      <c r="Q252" s="20" t="str">
        <f>IF(OR(LEFT('Web Links'!$C252,2)="In",$C252="Error"),"?????",IF(LEN(G252)=4,"",IF(LEN(G252)=3,"",IF(LEN(G252)=2,"",IF(LEN(G252)=1,"",""))))&amp;'Web Links'!G252)</f>
        <v>?????</v>
      </c>
      <c r="R252" s="20" t="str">
        <f>IF(OR(LEFT('Web Links'!$C252,2)="In",$C252="Error"),"???????????????",""&amp;F252)</f>
        <v>???????????????</v>
      </c>
    </row>
    <row r="253" spans="1:18" x14ac:dyDescent="0.2">
      <c r="A253" s="20">
        <f>IF('GL Template'!B267&lt;&gt;"",'GL Template'!B267,0)</f>
        <v>0</v>
      </c>
      <c r="B253" s="20">
        <f>IF('GL Template'!D267&lt;&gt;"",'GL Template'!D267,0)</f>
        <v>0</v>
      </c>
      <c r="C253" s="20" t="s">
        <v>95</v>
      </c>
      <c r="N253" s="20" t="str">
        <f>IF(OR(LEFT('Web Links'!$C253,2)="In",$C253="Error"),"?????",""&amp;C253)</f>
        <v>?????</v>
      </c>
      <c r="O253" s="20" t="str">
        <f>IF(OR(LEFT('Web Links'!$C253,2)="In",$C253="Error"),"??????????",""&amp;D253)</f>
        <v>??????????</v>
      </c>
      <c r="P253" s="20" t="str">
        <f>IF(OR(LEFT('Web Links'!$C253,2)="In",$C253="Error"),"???",IF(LEN(E253)=2,"0",IF(LEN(E253)=1,"00","")))&amp;'Web Links'!E253</f>
        <v>???</v>
      </c>
      <c r="Q253" s="20" t="str">
        <f>IF(OR(LEFT('Web Links'!$C253,2)="In",$C253="Error"),"?????",IF(LEN(G253)=4,"",IF(LEN(G253)=3,"",IF(LEN(G253)=2,"",IF(LEN(G253)=1,"",""))))&amp;'Web Links'!G253)</f>
        <v>?????</v>
      </c>
      <c r="R253" s="20" t="str">
        <f>IF(OR(LEFT('Web Links'!$C253,2)="In",$C253="Error"),"???????????????",""&amp;F253)</f>
        <v>???????????????</v>
      </c>
    </row>
    <row r="254" spans="1:18" x14ac:dyDescent="0.2">
      <c r="A254" s="20">
        <f>IF('GL Template'!B268&lt;&gt;"",'GL Template'!B268,0)</f>
        <v>0</v>
      </c>
      <c r="B254" s="20">
        <f>IF('GL Template'!D268&lt;&gt;"",'GL Template'!D268,0)</f>
        <v>0</v>
      </c>
      <c r="C254" s="20" t="s">
        <v>95</v>
      </c>
      <c r="N254" s="20" t="str">
        <f>IF(OR(LEFT('Web Links'!$C254,2)="In",$C254="Error"),"?????",""&amp;C254)</f>
        <v>?????</v>
      </c>
      <c r="O254" s="20" t="str">
        <f>IF(OR(LEFT('Web Links'!$C254,2)="In",$C254="Error"),"??????????",""&amp;D254)</f>
        <v>??????????</v>
      </c>
      <c r="P254" s="20" t="str">
        <f>IF(OR(LEFT('Web Links'!$C254,2)="In",$C254="Error"),"???",IF(LEN(E254)=2,"0",IF(LEN(E254)=1,"00","")))&amp;'Web Links'!E254</f>
        <v>???</v>
      </c>
      <c r="Q254" s="20" t="str">
        <f>IF(OR(LEFT('Web Links'!$C254,2)="In",$C254="Error"),"?????",IF(LEN(G254)=4,"",IF(LEN(G254)=3,"",IF(LEN(G254)=2,"",IF(LEN(G254)=1,"",""))))&amp;'Web Links'!G254)</f>
        <v>?????</v>
      </c>
      <c r="R254" s="20" t="str">
        <f>IF(OR(LEFT('Web Links'!$C254,2)="In",$C254="Error"),"???????????????",""&amp;F254)</f>
        <v>???????????????</v>
      </c>
    </row>
    <row r="255" spans="1:18" x14ac:dyDescent="0.2">
      <c r="A255" s="20">
        <f>IF('GL Template'!B269&lt;&gt;"",'GL Template'!B269,0)</f>
        <v>0</v>
      </c>
      <c r="B255" s="20">
        <f>IF('GL Template'!D269&lt;&gt;"",'GL Template'!D269,0)</f>
        <v>0</v>
      </c>
      <c r="C255" s="20" t="s">
        <v>95</v>
      </c>
      <c r="N255" s="20" t="str">
        <f>IF(OR(LEFT('Web Links'!$C255,2)="In",$C255="Error"),"?????",""&amp;C255)</f>
        <v>?????</v>
      </c>
      <c r="O255" s="20" t="str">
        <f>IF(OR(LEFT('Web Links'!$C255,2)="In",$C255="Error"),"??????????",""&amp;D255)</f>
        <v>??????????</v>
      </c>
      <c r="P255" s="20" t="str">
        <f>IF(OR(LEFT('Web Links'!$C255,2)="In",$C255="Error"),"???",IF(LEN(E255)=2,"0",IF(LEN(E255)=1,"00","")))&amp;'Web Links'!E255</f>
        <v>???</v>
      </c>
      <c r="Q255" s="20" t="str">
        <f>IF(OR(LEFT('Web Links'!$C255,2)="In",$C255="Error"),"?????",IF(LEN(G255)=4,"",IF(LEN(G255)=3,"",IF(LEN(G255)=2,"",IF(LEN(G255)=1,"",""))))&amp;'Web Links'!G255)</f>
        <v>?????</v>
      </c>
      <c r="R255" s="20" t="str">
        <f>IF(OR(LEFT('Web Links'!$C255,2)="In",$C255="Error"),"???????????????",""&amp;F255)</f>
        <v>???????????????</v>
      </c>
    </row>
    <row r="256" spans="1:18" x14ac:dyDescent="0.2">
      <c r="A256" s="20">
        <f>IF('GL Template'!B270&lt;&gt;"",'GL Template'!B270,0)</f>
        <v>0</v>
      </c>
      <c r="B256" s="20">
        <f>IF('GL Template'!D270&lt;&gt;"",'GL Template'!D270,0)</f>
        <v>0</v>
      </c>
      <c r="C256" s="20" t="s">
        <v>95</v>
      </c>
      <c r="N256" s="20" t="str">
        <f>IF(OR(LEFT('Web Links'!$C256,2)="In",$C256="Error"),"?????",""&amp;C256)</f>
        <v>?????</v>
      </c>
      <c r="O256" s="20" t="str">
        <f>IF(OR(LEFT('Web Links'!$C256,2)="In",$C256="Error"),"??????????",""&amp;D256)</f>
        <v>??????????</v>
      </c>
      <c r="P256" s="20" t="str">
        <f>IF(OR(LEFT('Web Links'!$C256,2)="In",$C256="Error"),"???",IF(LEN(E256)=2,"0",IF(LEN(E256)=1,"00","")))&amp;'Web Links'!E256</f>
        <v>???</v>
      </c>
      <c r="Q256" s="20" t="str">
        <f>IF(OR(LEFT('Web Links'!$C256,2)="In",$C256="Error"),"?????",IF(LEN(G256)=4,"",IF(LEN(G256)=3,"",IF(LEN(G256)=2,"",IF(LEN(G256)=1,"",""))))&amp;'Web Links'!G256)</f>
        <v>?????</v>
      </c>
      <c r="R256" s="20" t="str">
        <f>IF(OR(LEFT('Web Links'!$C256,2)="In",$C256="Error"),"???????????????",""&amp;F256)</f>
        <v>???????????????</v>
      </c>
    </row>
    <row r="257" spans="1:18" x14ac:dyDescent="0.2">
      <c r="A257" s="20">
        <f>IF('GL Template'!B271&lt;&gt;"",'GL Template'!B271,0)</f>
        <v>0</v>
      </c>
      <c r="B257" s="20">
        <f>IF('GL Template'!D271&lt;&gt;"",'GL Template'!D271,0)</f>
        <v>0</v>
      </c>
      <c r="C257" s="20" t="s">
        <v>95</v>
      </c>
      <c r="N257" s="20" t="str">
        <f>IF(OR(LEFT('Web Links'!$C257,2)="In",$C257="Error"),"?????",""&amp;C257)</f>
        <v>?????</v>
      </c>
      <c r="O257" s="20" t="str">
        <f>IF(OR(LEFT('Web Links'!$C257,2)="In",$C257="Error"),"??????????",""&amp;D257)</f>
        <v>??????????</v>
      </c>
      <c r="P257" s="20" t="str">
        <f>IF(OR(LEFT('Web Links'!$C257,2)="In",$C257="Error"),"???",IF(LEN(E257)=2,"0",IF(LEN(E257)=1,"00","")))&amp;'Web Links'!E257</f>
        <v>???</v>
      </c>
      <c r="Q257" s="20" t="str">
        <f>IF(OR(LEFT('Web Links'!$C257,2)="In",$C257="Error"),"?????",IF(LEN(G257)=4,"",IF(LEN(G257)=3,"",IF(LEN(G257)=2,"",IF(LEN(G257)=1,"",""))))&amp;'Web Links'!G257)</f>
        <v>?????</v>
      </c>
      <c r="R257" s="20" t="str">
        <f>IF(OR(LEFT('Web Links'!$C257,2)="In",$C257="Error"),"???????????????",""&amp;F257)</f>
        <v>???????????????</v>
      </c>
    </row>
    <row r="258" spans="1:18" x14ac:dyDescent="0.2">
      <c r="A258" s="20">
        <f>IF('GL Template'!B272&lt;&gt;"",'GL Template'!B272,0)</f>
        <v>0</v>
      </c>
      <c r="B258" s="20">
        <f>IF('GL Template'!D272&lt;&gt;"",'GL Template'!D272,0)</f>
        <v>0</v>
      </c>
      <c r="C258" s="20" t="s">
        <v>95</v>
      </c>
      <c r="N258" s="20" t="str">
        <f>IF(OR(LEFT('Web Links'!$C258,2)="In",$C258="Error"),"?????",""&amp;C258)</f>
        <v>?????</v>
      </c>
      <c r="O258" s="20" t="str">
        <f>IF(OR(LEFT('Web Links'!$C258,2)="In",$C258="Error"),"??????????",""&amp;D258)</f>
        <v>??????????</v>
      </c>
      <c r="P258" s="20" t="str">
        <f>IF(OR(LEFT('Web Links'!$C258,2)="In",$C258="Error"),"???",IF(LEN(E258)=2,"0",IF(LEN(E258)=1,"00","")))&amp;'Web Links'!E258</f>
        <v>???</v>
      </c>
      <c r="Q258" s="20" t="str">
        <f>IF(OR(LEFT('Web Links'!$C258,2)="In",$C258="Error"),"?????",IF(LEN(G258)=4,"",IF(LEN(G258)=3,"",IF(LEN(G258)=2,"",IF(LEN(G258)=1,"",""))))&amp;'Web Links'!G258)</f>
        <v>?????</v>
      </c>
      <c r="R258" s="20" t="str">
        <f>IF(OR(LEFT('Web Links'!$C258,2)="In",$C258="Error"),"???????????????",""&amp;F258)</f>
        <v>???????????????</v>
      </c>
    </row>
    <row r="259" spans="1:18" x14ac:dyDescent="0.2">
      <c r="A259" s="20">
        <f>IF('GL Template'!B273&lt;&gt;"",'GL Template'!B273,0)</f>
        <v>0</v>
      </c>
      <c r="B259" s="20">
        <f>IF('GL Template'!D273&lt;&gt;"",'GL Template'!D273,0)</f>
        <v>0</v>
      </c>
      <c r="C259" s="20" t="s">
        <v>95</v>
      </c>
      <c r="N259" s="20" t="str">
        <f>IF(OR(LEFT('Web Links'!$C259,2)="In",$C259="Error"),"?????",""&amp;C259)</f>
        <v>?????</v>
      </c>
      <c r="O259" s="20" t="str">
        <f>IF(OR(LEFT('Web Links'!$C259,2)="In",$C259="Error"),"??????????",""&amp;D259)</f>
        <v>??????????</v>
      </c>
      <c r="P259" s="20" t="str">
        <f>IF(OR(LEFT('Web Links'!$C259,2)="In",$C259="Error"),"???",IF(LEN(E259)=2,"0",IF(LEN(E259)=1,"00","")))&amp;'Web Links'!E259</f>
        <v>???</v>
      </c>
      <c r="Q259" s="20" t="str">
        <f>IF(OR(LEFT('Web Links'!$C259,2)="In",$C259="Error"),"?????",IF(LEN(G259)=4,"",IF(LEN(G259)=3,"",IF(LEN(G259)=2,"",IF(LEN(G259)=1,"",""))))&amp;'Web Links'!G259)</f>
        <v>?????</v>
      </c>
      <c r="R259" s="20" t="str">
        <f>IF(OR(LEFT('Web Links'!$C259,2)="In",$C259="Error"),"???????????????",""&amp;F259)</f>
        <v>???????????????</v>
      </c>
    </row>
    <row r="260" spans="1:18" x14ac:dyDescent="0.2">
      <c r="A260" s="20">
        <f>IF('GL Template'!B274&lt;&gt;"",'GL Template'!B274,0)</f>
        <v>0</v>
      </c>
      <c r="B260" s="20">
        <f>IF('GL Template'!D274&lt;&gt;"",'GL Template'!D274,0)</f>
        <v>0</v>
      </c>
      <c r="C260" s="20" t="s">
        <v>95</v>
      </c>
      <c r="N260" s="20" t="str">
        <f>IF(OR(LEFT('Web Links'!$C260,2)="In",$C260="Error"),"?????",""&amp;C260)</f>
        <v>?????</v>
      </c>
      <c r="O260" s="20" t="str">
        <f>IF(OR(LEFT('Web Links'!$C260,2)="In",$C260="Error"),"??????????",""&amp;D260)</f>
        <v>??????????</v>
      </c>
      <c r="P260" s="20" t="str">
        <f>IF(OR(LEFT('Web Links'!$C260,2)="In",$C260="Error"),"???",IF(LEN(E260)=2,"0",IF(LEN(E260)=1,"00","")))&amp;'Web Links'!E260</f>
        <v>???</v>
      </c>
      <c r="Q260" s="20" t="str">
        <f>IF(OR(LEFT('Web Links'!$C260,2)="In",$C260="Error"),"?????",IF(LEN(G260)=4,"",IF(LEN(G260)=3,"",IF(LEN(G260)=2,"",IF(LEN(G260)=1,"",""))))&amp;'Web Links'!G260)</f>
        <v>?????</v>
      </c>
      <c r="R260" s="20" t="str">
        <f>IF(OR(LEFT('Web Links'!$C260,2)="In",$C260="Error"),"???????????????",""&amp;F260)</f>
        <v>???????????????</v>
      </c>
    </row>
    <row r="261" spans="1:18" x14ac:dyDescent="0.2">
      <c r="A261" s="20">
        <f>IF('GL Template'!B275&lt;&gt;"",'GL Template'!B275,0)</f>
        <v>0</v>
      </c>
      <c r="B261" s="20">
        <f>IF('GL Template'!D275&lt;&gt;"",'GL Template'!D275,0)</f>
        <v>0</v>
      </c>
      <c r="C261" s="20" t="s">
        <v>95</v>
      </c>
      <c r="N261" s="20" t="str">
        <f>IF(OR(LEFT('Web Links'!$C261,2)="In",$C261="Error"),"?????",""&amp;C261)</f>
        <v>?????</v>
      </c>
      <c r="O261" s="20" t="str">
        <f>IF(OR(LEFT('Web Links'!$C261,2)="In",$C261="Error"),"??????????",""&amp;D261)</f>
        <v>??????????</v>
      </c>
      <c r="P261" s="20" t="str">
        <f>IF(OR(LEFT('Web Links'!$C261,2)="In",$C261="Error"),"???",IF(LEN(E261)=2,"0",IF(LEN(E261)=1,"00","")))&amp;'Web Links'!E261</f>
        <v>???</v>
      </c>
      <c r="Q261" s="20" t="str">
        <f>IF(OR(LEFT('Web Links'!$C261,2)="In",$C261="Error"),"?????",IF(LEN(G261)=4,"",IF(LEN(G261)=3,"",IF(LEN(G261)=2,"",IF(LEN(G261)=1,"",""))))&amp;'Web Links'!G261)</f>
        <v>?????</v>
      </c>
      <c r="R261" s="20" t="str">
        <f>IF(OR(LEFT('Web Links'!$C261,2)="In",$C261="Error"),"???????????????",""&amp;F261)</f>
        <v>???????????????</v>
      </c>
    </row>
    <row r="262" spans="1:18" x14ac:dyDescent="0.2">
      <c r="A262" s="20">
        <f>IF('GL Template'!B276&lt;&gt;"",'GL Template'!B276,0)</f>
        <v>0</v>
      </c>
      <c r="B262" s="20">
        <f>IF('GL Template'!D276&lt;&gt;"",'GL Template'!D276,0)</f>
        <v>0</v>
      </c>
      <c r="C262" s="20" t="s">
        <v>95</v>
      </c>
      <c r="N262" s="20" t="str">
        <f>IF(OR(LEFT('Web Links'!$C262,2)="In",$C262="Error"),"?????",""&amp;C262)</f>
        <v>?????</v>
      </c>
      <c r="O262" s="20" t="str">
        <f>IF(OR(LEFT('Web Links'!$C262,2)="In",$C262="Error"),"??????????",""&amp;D262)</f>
        <v>??????????</v>
      </c>
      <c r="P262" s="20" t="str">
        <f>IF(OR(LEFT('Web Links'!$C262,2)="In",$C262="Error"),"???",IF(LEN(E262)=2,"0",IF(LEN(E262)=1,"00","")))&amp;'Web Links'!E262</f>
        <v>???</v>
      </c>
      <c r="Q262" s="20" t="str">
        <f>IF(OR(LEFT('Web Links'!$C262,2)="In",$C262="Error"),"?????",IF(LEN(G262)=4,"",IF(LEN(G262)=3,"",IF(LEN(G262)=2,"",IF(LEN(G262)=1,"",""))))&amp;'Web Links'!G262)</f>
        <v>?????</v>
      </c>
      <c r="R262" s="20" t="str">
        <f>IF(OR(LEFT('Web Links'!$C262,2)="In",$C262="Error"),"???????????????",""&amp;F262)</f>
        <v>???????????????</v>
      </c>
    </row>
    <row r="263" spans="1:18" x14ac:dyDescent="0.2">
      <c r="A263" s="20">
        <f>IF('GL Template'!B277&lt;&gt;"",'GL Template'!B277,0)</f>
        <v>0</v>
      </c>
      <c r="B263" s="20">
        <f>IF('GL Template'!D277&lt;&gt;"",'GL Template'!D277,0)</f>
        <v>0</v>
      </c>
      <c r="C263" s="20" t="s">
        <v>95</v>
      </c>
      <c r="N263" s="20" t="str">
        <f>IF(OR(LEFT('Web Links'!$C263,2)="In",$C263="Error"),"?????",""&amp;C263)</f>
        <v>?????</v>
      </c>
      <c r="O263" s="20" t="str">
        <f>IF(OR(LEFT('Web Links'!$C263,2)="In",$C263="Error"),"??????????",""&amp;D263)</f>
        <v>??????????</v>
      </c>
      <c r="P263" s="20" t="str">
        <f>IF(OR(LEFT('Web Links'!$C263,2)="In",$C263="Error"),"???",IF(LEN(E263)=2,"0",IF(LEN(E263)=1,"00","")))&amp;'Web Links'!E263</f>
        <v>???</v>
      </c>
      <c r="Q263" s="20" t="str">
        <f>IF(OR(LEFT('Web Links'!$C263,2)="In",$C263="Error"),"?????",IF(LEN(G263)=4,"",IF(LEN(G263)=3,"",IF(LEN(G263)=2,"",IF(LEN(G263)=1,"",""))))&amp;'Web Links'!G263)</f>
        <v>?????</v>
      </c>
      <c r="R263" s="20" t="str">
        <f>IF(OR(LEFT('Web Links'!$C263,2)="In",$C263="Error"),"???????????????",""&amp;F263)</f>
        <v>???????????????</v>
      </c>
    </row>
    <row r="264" spans="1:18" x14ac:dyDescent="0.2">
      <c r="A264" s="20">
        <f>IF('GL Template'!B278&lt;&gt;"",'GL Template'!B278,0)</f>
        <v>0</v>
      </c>
      <c r="B264" s="20">
        <f>IF('GL Template'!D278&lt;&gt;"",'GL Template'!D278,0)</f>
        <v>0</v>
      </c>
      <c r="C264" s="20" t="s">
        <v>95</v>
      </c>
      <c r="N264" s="20" t="str">
        <f>IF(OR(LEFT('Web Links'!$C264,2)="In",$C264="Error"),"?????",""&amp;C264)</f>
        <v>?????</v>
      </c>
      <c r="O264" s="20" t="str">
        <f>IF(OR(LEFT('Web Links'!$C264,2)="In",$C264="Error"),"??????????",""&amp;D264)</f>
        <v>??????????</v>
      </c>
      <c r="P264" s="20" t="str">
        <f>IF(OR(LEFT('Web Links'!$C264,2)="In",$C264="Error"),"???",IF(LEN(E264)=2,"0",IF(LEN(E264)=1,"00","")))&amp;'Web Links'!E264</f>
        <v>???</v>
      </c>
      <c r="Q264" s="20" t="str">
        <f>IF(OR(LEFT('Web Links'!$C264,2)="In",$C264="Error"),"?????",IF(LEN(G264)=4,"",IF(LEN(G264)=3,"",IF(LEN(G264)=2,"",IF(LEN(G264)=1,"",""))))&amp;'Web Links'!G264)</f>
        <v>?????</v>
      </c>
      <c r="R264" s="20" t="str">
        <f>IF(OR(LEFT('Web Links'!$C264,2)="In",$C264="Error"),"???????????????",""&amp;F264)</f>
        <v>???????????????</v>
      </c>
    </row>
    <row r="265" spans="1:18" x14ac:dyDescent="0.2">
      <c r="A265" s="20">
        <f>IF('GL Template'!B279&lt;&gt;"",'GL Template'!B279,0)</f>
        <v>0</v>
      </c>
      <c r="B265" s="20">
        <f>IF('GL Template'!D279&lt;&gt;"",'GL Template'!D279,0)</f>
        <v>0</v>
      </c>
      <c r="C265" s="20" t="s">
        <v>95</v>
      </c>
      <c r="N265" s="20" t="str">
        <f>IF(OR(LEFT('Web Links'!$C265,2)="In",$C265="Error"),"?????",""&amp;C265)</f>
        <v>?????</v>
      </c>
      <c r="O265" s="20" t="str">
        <f>IF(OR(LEFT('Web Links'!$C265,2)="In",$C265="Error"),"??????????",""&amp;D265)</f>
        <v>??????????</v>
      </c>
      <c r="P265" s="20" t="str">
        <f>IF(OR(LEFT('Web Links'!$C265,2)="In",$C265="Error"),"???",IF(LEN(E265)=2,"0",IF(LEN(E265)=1,"00","")))&amp;'Web Links'!E265</f>
        <v>???</v>
      </c>
      <c r="Q265" s="20" t="str">
        <f>IF(OR(LEFT('Web Links'!$C265,2)="In",$C265="Error"),"?????",IF(LEN(G265)=4,"",IF(LEN(G265)=3,"",IF(LEN(G265)=2,"",IF(LEN(G265)=1,"",""))))&amp;'Web Links'!G265)</f>
        <v>?????</v>
      </c>
      <c r="R265" s="20" t="str">
        <f>IF(OR(LEFT('Web Links'!$C265,2)="In",$C265="Error"),"???????????????",""&amp;F265)</f>
        <v>???????????????</v>
      </c>
    </row>
    <row r="266" spans="1:18" x14ac:dyDescent="0.2">
      <c r="A266" s="20">
        <f>IF('GL Template'!B280&lt;&gt;"",'GL Template'!B280,0)</f>
        <v>0</v>
      </c>
      <c r="B266" s="20">
        <f>IF('GL Template'!D280&lt;&gt;"",'GL Template'!D280,0)</f>
        <v>0</v>
      </c>
      <c r="C266" s="20" t="s">
        <v>95</v>
      </c>
      <c r="N266" s="20" t="str">
        <f>IF(OR(LEFT('Web Links'!$C266,2)="In",$C266="Error"),"?????",""&amp;C266)</f>
        <v>?????</v>
      </c>
      <c r="O266" s="20" t="str">
        <f>IF(OR(LEFT('Web Links'!$C266,2)="In",$C266="Error"),"??????????",""&amp;D266)</f>
        <v>??????????</v>
      </c>
      <c r="P266" s="20" t="str">
        <f>IF(OR(LEFT('Web Links'!$C266,2)="In",$C266="Error"),"???",IF(LEN(E266)=2,"0",IF(LEN(E266)=1,"00","")))&amp;'Web Links'!E266</f>
        <v>???</v>
      </c>
      <c r="Q266" s="20" t="str">
        <f>IF(OR(LEFT('Web Links'!$C266,2)="In",$C266="Error"),"?????",IF(LEN(G266)=4,"",IF(LEN(G266)=3,"",IF(LEN(G266)=2,"",IF(LEN(G266)=1,"",""))))&amp;'Web Links'!G266)</f>
        <v>?????</v>
      </c>
      <c r="R266" s="20" t="str">
        <f>IF(OR(LEFT('Web Links'!$C266,2)="In",$C266="Error"),"???????????????",""&amp;F266)</f>
        <v>???????????????</v>
      </c>
    </row>
    <row r="267" spans="1:18" x14ac:dyDescent="0.2">
      <c r="A267" s="20">
        <f>IF('GL Template'!B281&lt;&gt;"",'GL Template'!B281,0)</f>
        <v>0</v>
      </c>
      <c r="B267" s="20">
        <f>IF('GL Template'!D281&lt;&gt;"",'GL Template'!D281,0)</f>
        <v>0</v>
      </c>
      <c r="C267" s="20" t="s">
        <v>95</v>
      </c>
      <c r="N267" s="20" t="str">
        <f>IF(OR(LEFT('Web Links'!$C267,2)="In",$C267="Error"),"?????",""&amp;C267)</f>
        <v>?????</v>
      </c>
      <c r="O267" s="20" t="str">
        <f>IF(OR(LEFT('Web Links'!$C267,2)="In",$C267="Error"),"??????????",""&amp;D267)</f>
        <v>??????????</v>
      </c>
      <c r="P267" s="20" t="str">
        <f>IF(OR(LEFT('Web Links'!$C267,2)="In",$C267="Error"),"???",IF(LEN(E267)=2,"0",IF(LEN(E267)=1,"00","")))&amp;'Web Links'!E267</f>
        <v>???</v>
      </c>
      <c r="Q267" s="20" t="str">
        <f>IF(OR(LEFT('Web Links'!$C267,2)="In",$C267="Error"),"?????",IF(LEN(G267)=4,"",IF(LEN(G267)=3,"",IF(LEN(G267)=2,"",IF(LEN(G267)=1,"",""))))&amp;'Web Links'!G267)</f>
        <v>?????</v>
      </c>
      <c r="R267" s="20" t="str">
        <f>IF(OR(LEFT('Web Links'!$C267,2)="In",$C267="Error"),"???????????????",""&amp;F267)</f>
        <v>???????????????</v>
      </c>
    </row>
    <row r="268" spans="1:18" x14ac:dyDescent="0.2">
      <c r="A268" s="20">
        <f>IF('GL Template'!B282&lt;&gt;"",'GL Template'!B282,0)</f>
        <v>0</v>
      </c>
      <c r="B268" s="20">
        <f>IF('GL Template'!D282&lt;&gt;"",'GL Template'!D282,0)</f>
        <v>0</v>
      </c>
      <c r="C268" s="20" t="s">
        <v>95</v>
      </c>
      <c r="N268" s="20" t="str">
        <f>IF(OR(LEFT('Web Links'!$C268,2)="In",$C268="Error"),"?????",""&amp;C268)</f>
        <v>?????</v>
      </c>
      <c r="O268" s="20" t="str">
        <f>IF(OR(LEFT('Web Links'!$C268,2)="In",$C268="Error"),"??????????",""&amp;D268)</f>
        <v>??????????</v>
      </c>
      <c r="P268" s="20" t="str">
        <f>IF(OR(LEFT('Web Links'!$C268,2)="In",$C268="Error"),"???",IF(LEN(E268)=2,"0",IF(LEN(E268)=1,"00","")))&amp;'Web Links'!E268</f>
        <v>???</v>
      </c>
      <c r="Q268" s="20" t="str">
        <f>IF(OR(LEFT('Web Links'!$C268,2)="In",$C268="Error"),"?????",IF(LEN(G268)=4,"",IF(LEN(G268)=3,"",IF(LEN(G268)=2,"",IF(LEN(G268)=1,"",""))))&amp;'Web Links'!G268)</f>
        <v>?????</v>
      </c>
      <c r="R268" s="20" t="str">
        <f>IF(OR(LEFT('Web Links'!$C268,2)="In",$C268="Error"),"???????????????",""&amp;F268)</f>
        <v>???????????????</v>
      </c>
    </row>
    <row r="269" spans="1:18" x14ac:dyDescent="0.2">
      <c r="A269" s="20">
        <f>IF('GL Template'!B283&lt;&gt;"",'GL Template'!B283,0)</f>
        <v>0</v>
      </c>
      <c r="B269" s="20">
        <f>IF('GL Template'!D283&lt;&gt;"",'GL Template'!D283,0)</f>
        <v>0</v>
      </c>
      <c r="C269" s="20" t="s">
        <v>95</v>
      </c>
      <c r="N269" s="20" t="str">
        <f>IF(OR(LEFT('Web Links'!$C269,2)="In",$C269="Error"),"?????",""&amp;C269)</f>
        <v>?????</v>
      </c>
      <c r="O269" s="20" t="str">
        <f>IF(OR(LEFT('Web Links'!$C269,2)="In",$C269="Error"),"??????????",""&amp;D269)</f>
        <v>??????????</v>
      </c>
      <c r="P269" s="20" t="str">
        <f>IF(OR(LEFT('Web Links'!$C269,2)="In",$C269="Error"),"???",IF(LEN(E269)=2,"0",IF(LEN(E269)=1,"00","")))&amp;'Web Links'!E269</f>
        <v>???</v>
      </c>
      <c r="Q269" s="20" t="str">
        <f>IF(OR(LEFT('Web Links'!$C269,2)="In",$C269="Error"),"?????",IF(LEN(G269)=4,"",IF(LEN(G269)=3,"",IF(LEN(G269)=2,"",IF(LEN(G269)=1,"",""))))&amp;'Web Links'!G269)</f>
        <v>?????</v>
      </c>
      <c r="R269" s="20" t="str">
        <f>IF(OR(LEFT('Web Links'!$C269,2)="In",$C269="Error"),"???????????????",""&amp;F269)</f>
        <v>???????????????</v>
      </c>
    </row>
    <row r="270" spans="1:18" x14ac:dyDescent="0.2">
      <c r="A270" s="20">
        <f>IF('GL Template'!B284&lt;&gt;"",'GL Template'!B284,0)</f>
        <v>0</v>
      </c>
      <c r="B270" s="20">
        <f>IF('GL Template'!D284&lt;&gt;"",'GL Template'!D284,0)</f>
        <v>0</v>
      </c>
      <c r="C270" s="20" t="s">
        <v>95</v>
      </c>
      <c r="N270" s="20" t="str">
        <f>IF(OR(LEFT('Web Links'!$C270,2)="In",$C270="Error"),"?????",""&amp;C270)</f>
        <v>?????</v>
      </c>
      <c r="O270" s="20" t="str">
        <f>IF(OR(LEFT('Web Links'!$C270,2)="In",$C270="Error"),"??????????",""&amp;D270)</f>
        <v>??????????</v>
      </c>
      <c r="P270" s="20" t="str">
        <f>IF(OR(LEFT('Web Links'!$C270,2)="In",$C270="Error"),"???",IF(LEN(E270)=2,"0",IF(LEN(E270)=1,"00","")))&amp;'Web Links'!E270</f>
        <v>???</v>
      </c>
      <c r="Q270" s="20" t="str">
        <f>IF(OR(LEFT('Web Links'!$C270,2)="In",$C270="Error"),"?????",IF(LEN(G270)=4,"",IF(LEN(G270)=3,"",IF(LEN(G270)=2,"",IF(LEN(G270)=1,"",""))))&amp;'Web Links'!G270)</f>
        <v>?????</v>
      </c>
      <c r="R270" s="20" t="str">
        <f>IF(OR(LEFT('Web Links'!$C270,2)="In",$C270="Error"),"???????????????",""&amp;F270)</f>
        <v>???????????????</v>
      </c>
    </row>
    <row r="271" spans="1:18" x14ac:dyDescent="0.2">
      <c r="A271" s="20">
        <f>IF('GL Template'!B285&lt;&gt;"",'GL Template'!B285,0)</f>
        <v>0</v>
      </c>
      <c r="B271" s="20">
        <f>IF('GL Template'!D285&lt;&gt;"",'GL Template'!D285,0)</f>
        <v>0</v>
      </c>
      <c r="C271" s="20" t="s">
        <v>95</v>
      </c>
      <c r="N271" s="20" t="str">
        <f>IF(OR(LEFT('Web Links'!$C271,2)="In",$C271="Error"),"?????",""&amp;C271)</f>
        <v>?????</v>
      </c>
      <c r="O271" s="20" t="str">
        <f>IF(OR(LEFT('Web Links'!$C271,2)="In",$C271="Error"),"??????????",""&amp;D271)</f>
        <v>??????????</v>
      </c>
      <c r="P271" s="20" t="str">
        <f>IF(OR(LEFT('Web Links'!$C271,2)="In",$C271="Error"),"???",IF(LEN(E271)=2,"0",IF(LEN(E271)=1,"00","")))&amp;'Web Links'!E271</f>
        <v>???</v>
      </c>
      <c r="Q271" s="20" t="str">
        <f>IF(OR(LEFT('Web Links'!$C271,2)="In",$C271="Error"),"?????",IF(LEN(G271)=4,"",IF(LEN(G271)=3,"",IF(LEN(G271)=2,"",IF(LEN(G271)=1,"",""))))&amp;'Web Links'!G271)</f>
        <v>?????</v>
      </c>
      <c r="R271" s="20" t="str">
        <f>IF(OR(LEFT('Web Links'!$C271,2)="In",$C271="Error"),"???????????????",""&amp;F271)</f>
        <v>???????????????</v>
      </c>
    </row>
    <row r="272" spans="1:18" x14ac:dyDescent="0.2">
      <c r="A272" s="20">
        <f>IF('GL Template'!B286&lt;&gt;"",'GL Template'!B286,0)</f>
        <v>0</v>
      </c>
      <c r="B272" s="20">
        <f>IF('GL Template'!D286&lt;&gt;"",'GL Template'!D286,0)</f>
        <v>0</v>
      </c>
      <c r="C272" s="20" t="s">
        <v>95</v>
      </c>
      <c r="N272" s="20" t="str">
        <f>IF(OR(LEFT('Web Links'!$C272,2)="In",$C272="Error"),"?????",""&amp;C272)</f>
        <v>?????</v>
      </c>
      <c r="O272" s="20" t="str">
        <f>IF(OR(LEFT('Web Links'!$C272,2)="In",$C272="Error"),"??????????",""&amp;D272)</f>
        <v>??????????</v>
      </c>
      <c r="P272" s="20" t="str">
        <f>IF(OR(LEFT('Web Links'!$C272,2)="In",$C272="Error"),"???",IF(LEN(E272)=2,"0",IF(LEN(E272)=1,"00","")))&amp;'Web Links'!E272</f>
        <v>???</v>
      </c>
      <c r="Q272" s="20" t="str">
        <f>IF(OR(LEFT('Web Links'!$C272,2)="In",$C272="Error"),"?????",IF(LEN(G272)=4,"",IF(LEN(G272)=3,"",IF(LEN(G272)=2,"",IF(LEN(G272)=1,"",""))))&amp;'Web Links'!G272)</f>
        <v>?????</v>
      </c>
      <c r="R272" s="20" t="str">
        <f>IF(OR(LEFT('Web Links'!$C272,2)="In",$C272="Error"),"???????????????",""&amp;F272)</f>
        <v>???????????????</v>
      </c>
    </row>
    <row r="273" spans="1:18" x14ac:dyDescent="0.2">
      <c r="A273" s="20">
        <f>IF('GL Template'!B287&lt;&gt;"",'GL Template'!B287,0)</f>
        <v>0</v>
      </c>
      <c r="B273" s="20">
        <f>IF('GL Template'!D287&lt;&gt;"",'GL Template'!D287,0)</f>
        <v>0</v>
      </c>
      <c r="C273" s="20" t="s">
        <v>95</v>
      </c>
      <c r="N273" s="20" t="str">
        <f>IF(OR(LEFT('Web Links'!$C273,2)="In",$C273="Error"),"?????",""&amp;C273)</f>
        <v>?????</v>
      </c>
      <c r="O273" s="20" t="str">
        <f>IF(OR(LEFT('Web Links'!$C273,2)="In",$C273="Error"),"??????????",""&amp;D273)</f>
        <v>??????????</v>
      </c>
      <c r="P273" s="20" t="str">
        <f>IF(OR(LEFT('Web Links'!$C273,2)="In",$C273="Error"),"???",IF(LEN(E273)=2,"0",IF(LEN(E273)=1,"00","")))&amp;'Web Links'!E273</f>
        <v>???</v>
      </c>
      <c r="Q273" s="20" t="str">
        <f>IF(OR(LEFT('Web Links'!$C273,2)="In",$C273="Error"),"?????",IF(LEN(G273)=4,"",IF(LEN(G273)=3,"",IF(LEN(G273)=2,"",IF(LEN(G273)=1,"",""))))&amp;'Web Links'!G273)</f>
        <v>?????</v>
      </c>
      <c r="R273" s="20" t="str">
        <f>IF(OR(LEFT('Web Links'!$C273,2)="In",$C273="Error"),"???????????????",""&amp;F273)</f>
        <v>???????????????</v>
      </c>
    </row>
    <row r="274" spans="1:18" x14ac:dyDescent="0.2">
      <c r="A274" s="20">
        <f>IF('GL Template'!B288&lt;&gt;"",'GL Template'!B288,0)</f>
        <v>0</v>
      </c>
      <c r="B274" s="20">
        <f>IF('GL Template'!D288&lt;&gt;"",'GL Template'!D288,0)</f>
        <v>0</v>
      </c>
      <c r="C274" s="20" t="s">
        <v>95</v>
      </c>
      <c r="N274" s="20" t="str">
        <f>IF(OR(LEFT('Web Links'!$C274,2)="In",$C274="Error"),"?????",""&amp;C274)</f>
        <v>?????</v>
      </c>
      <c r="O274" s="20" t="str">
        <f>IF(OR(LEFT('Web Links'!$C274,2)="In",$C274="Error"),"??????????",""&amp;D274)</f>
        <v>??????????</v>
      </c>
      <c r="P274" s="20" t="str">
        <f>IF(OR(LEFT('Web Links'!$C274,2)="In",$C274="Error"),"???",IF(LEN(E274)=2,"0",IF(LEN(E274)=1,"00","")))&amp;'Web Links'!E274</f>
        <v>???</v>
      </c>
      <c r="Q274" s="20" t="str">
        <f>IF(OR(LEFT('Web Links'!$C274,2)="In",$C274="Error"),"?????",IF(LEN(G274)=4,"",IF(LEN(G274)=3,"",IF(LEN(G274)=2,"",IF(LEN(G274)=1,"",""))))&amp;'Web Links'!G274)</f>
        <v>?????</v>
      </c>
      <c r="R274" s="20" t="str">
        <f>IF(OR(LEFT('Web Links'!$C274,2)="In",$C274="Error"),"???????????????",""&amp;F274)</f>
        <v>???????????????</v>
      </c>
    </row>
    <row r="275" spans="1:18" x14ac:dyDescent="0.2">
      <c r="A275" s="20">
        <f>IF('GL Template'!B289&lt;&gt;"",'GL Template'!B289,0)</f>
        <v>0</v>
      </c>
      <c r="B275" s="20">
        <f>IF('GL Template'!D289&lt;&gt;"",'GL Template'!D289,0)</f>
        <v>0</v>
      </c>
      <c r="C275" s="20" t="s">
        <v>95</v>
      </c>
      <c r="N275" s="20" t="str">
        <f>IF(OR(LEFT('Web Links'!$C275,2)="In",$C275="Error"),"?????",""&amp;C275)</f>
        <v>?????</v>
      </c>
      <c r="O275" s="20" t="str">
        <f>IF(OR(LEFT('Web Links'!$C275,2)="In",$C275="Error"),"??????????",""&amp;D275)</f>
        <v>??????????</v>
      </c>
      <c r="P275" s="20" t="str">
        <f>IF(OR(LEFT('Web Links'!$C275,2)="In",$C275="Error"),"???",IF(LEN(E275)=2,"0",IF(LEN(E275)=1,"00","")))&amp;'Web Links'!E275</f>
        <v>???</v>
      </c>
      <c r="Q275" s="20" t="str">
        <f>IF(OR(LEFT('Web Links'!$C275,2)="In",$C275="Error"),"?????",IF(LEN(G275)=4,"",IF(LEN(G275)=3,"",IF(LEN(G275)=2,"",IF(LEN(G275)=1,"",""))))&amp;'Web Links'!G275)</f>
        <v>?????</v>
      </c>
      <c r="R275" s="20" t="str">
        <f>IF(OR(LEFT('Web Links'!$C275,2)="In",$C275="Error"),"???????????????",""&amp;F275)</f>
        <v>???????????????</v>
      </c>
    </row>
    <row r="276" spans="1:18" x14ac:dyDescent="0.2">
      <c r="A276" s="20">
        <f>IF('GL Template'!B290&lt;&gt;"",'GL Template'!B290,0)</f>
        <v>0</v>
      </c>
      <c r="B276" s="20">
        <f>IF('GL Template'!D290&lt;&gt;"",'GL Template'!D290,0)</f>
        <v>0</v>
      </c>
      <c r="C276" s="20" t="s">
        <v>95</v>
      </c>
      <c r="N276" s="20" t="str">
        <f>IF(OR(LEFT('Web Links'!$C276,2)="In",$C276="Error"),"?????",""&amp;C276)</f>
        <v>?????</v>
      </c>
      <c r="O276" s="20" t="str">
        <f>IF(OR(LEFT('Web Links'!$C276,2)="In",$C276="Error"),"??????????",""&amp;D276)</f>
        <v>??????????</v>
      </c>
      <c r="P276" s="20" t="str">
        <f>IF(OR(LEFT('Web Links'!$C276,2)="In",$C276="Error"),"???",IF(LEN(E276)=2,"0",IF(LEN(E276)=1,"00","")))&amp;'Web Links'!E276</f>
        <v>???</v>
      </c>
      <c r="Q276" s="20" t="str">
        <f>IF(OR(LEFT('Web Links'!$C276,2)="In",$C276="Error"),"?????",IF(LEN(G276)=4,"",IF(LEN(G276)=3,"",IF(LEN(G276)=2,"",IF(LEN(G276)=1,"",""))))&amp;'Web Links'!G276)</f>
        <v>?????</v>
      </c>
      <c r="R276" s="20" t="str">
        <f>IF(OR(LEFT('Web Links'!$C276,2)="In",$C276="Error"),"???????????????",""&amp;F276)</f>
        <v>???????????????</v>
      </c>
    </row>
    <row r="277" spans="1:18" x14ac:dyDescent="0.2">
      <c r="A277" s="20">
        <f>IF('GL Template'!B291&lt;&gt;"",'GL Template'!B291,0)</f>
        <v>0</v>
      </c>
      <c r="B277" s="20">
        <f>IF('GL Template'!D291&lt;&gt;"",'GL Template'!D291,0)</f>
        <v>0</v>
      </c>
      <c r="C277" s="20" t="s">
        <v>95</v>
      </c>
      <c r="N277" s="20" t="str">
        <f>IF(OR(LEFT('Web Links'!$C277,2)="In",$C277="Error"),"?????",""&amp;C277)</f>
        <v>?????</v>
      </c>
      <c r="O277" s="20" t="str">
        <f>IF(OR(LEFT('Web Links'!$C277,2)="In",$C277="Error"),"??????????",""&amp;D277)</f>
        <v>??????????</v>
      </c>
      <c r="P277" s="20" t="str">
        <f>IF(OR(LEFT('Web Links'!$C277,2)="In",$C277="Error"),"???",IF(LEN(E277)=2,"0",IF(LEN(E277)=1,"00","")))&amp;'Web Links'!E277</f>
        <v>???</v>
      </c>
      <c r="Q277" s="20" t="str">
        <f>IF(OR(LEFT('Web Links'!$C277,2)="In",$C277="Error"),"?????",IF(LEN(G277)=4,"",IF(LEN(G277)=3,"",IF(LEN(G277)=2,"",IF(LEN(G277)=1,"",""))))&amp;'Web Links'!G277)</f>
        <v>?????</v>
      </c>
      <c r="R277" s="20" t="str">
        <f>IF(OR(LEFT('Web Links'!$C277,2)="In",$C277="Error"),"???????????????",""&amp;F277)</f>
        <v>???????????????</v>
      </c>
    </row>
    <row r="278" spans="1:18" x14ac:dyDescent="0.2">
      <c r="A278" s="20">
        <f>IF('GL Template'!B292&lt;&gt;"",'GL Template'!B292,0)</f>
        <v>0</v>
      </c>
      <c r="B278" s="20">
        <f>IF('GL Template'!D292&lt;&gt;"",'GL Template'!D292,0)</f>
        <v>0</v>
      </c>
      <c r="C278" s="20" t="s">
        <v>95</v>
      </c>
      <c r="N278" s="20" t="str">
        <f>IF(OR(LEFT('Web Links'!$C278,2)="In",$C278="Error"),"?????",""&amp;C278)</f>
        <v>?????</v>
      </c>
      <c r="O278" s="20" t="str">
        <f>IF(OR(LEFT('Web Links'!$C278,2)="In",$C278="Error"),"??????????",""&amp;D278)</f>
        <v>??????????</v>
      </c>
      <c r="P278" s="20" t="str">
        <f>IF(OR(LEFT('Web Links'!$C278,2)="In",$C278="Error"),"???",IF(LEN(E278)=2,"0",IF(LEN(E278)=1,"00","")))&amp;'Web Links'!E278</f>
        <v>???</v>
      </c>
      <c r="Q278" s="20" t="str">
        <f>IF(OR(LEFT('Web Links'!$C278,2)="In",$C278="Error"),"?????",IF(LEN(G278)=4,"",IF(LEN(G278)=3,"",IF(LEN(G278)=2,"",IF(LEN(G278)=1,"",""))))&amp;'Web Links'!G278)</f>
        <v>?????</v>
      </c>
      <c r="R278" s="20" t="str">
        <f>IF(OR(LEFT('Web Links'!$C278,2)="In",$C278="Error"),"???????????????",""&amp;F278)</f>
        <v>???????????????</v>
      </c>
    </row>
    <row r="279" spans="1:18" x14ac:dyDescent="0.2">
      <c r="A279" s="20">
        <f>IF('GL Template'!B293&lt;&gt;"",'GL Template'!B293,0)</f>
        <v>0</v>
      </c>
      <c r="B279" s="20">
        <f>IF('GL Template'!D293&lt;&gt;"",'GL Template'!D293,0)</f>
        <v>0</v>
      </c>
      <c r="C279" s="20" t="s">
        <v>95</v>
      </c>
      <c r="N279" s="20" t="str">
        <f>IF(OR(LEFT('Web Links'!$C279,2)="In",$C279="Error"),"?????",""&amp;C279)</f>
        <v>?????</v>
      </c>
      <c r="O279" s="20" t="str">
        <f>IF(OR(LEFT('Web Links'!$C279,2)="In",$C279="Error"),"??????????",""&amp;D279)</f>
        <v>??????????</v>
      </c>
      <c r="P279" s="20" t="str">
        <f>IF(OR(LEFT('Web Links'!$C279,2)="In",$C279="Error"),"???",IF(LEN(E279)=2,"0",IF(LEN(E279)=1,"00","")))&amp;'Web Links'!E279</f>
        <v>???</v>
      </c>
      <c r="Q279" s="20" t="str">
        <f>IF(OR(LEFT('Web Links'!$C279,2)="In",$C279="Error"),"?????",IF(LEN(G279)=4,"",IF(LEN(G279)=3,"",IF(LEN(G279)=2,"",IF(LEN(G279)=1,"",""))))&amp;'Web Links'!G279)</f>
        <v>?????</v>
      </c>
      <c r="R279" s="20" t="str">
        <f>IF(OR(LEFT('Web Links'!$C279,2)="In",$C279="Error"),"???????????????",""&amp;F279)</f>
        <v>???????????????</v>
      </c>
    </row>
    <row r="280" spans="1:18" x14ac:dyDescent="0.2">
      <c r="A280" s="20">
        <f>IF('GL Template'!B294&lt;&gt;"",'GL Template'!B294,0)</f>
        <v>0</v>
      </c>
      <c r="B280" s="20">
        <f>IF('GL Template'!D294&lt;&gt;"",'GL Template'!D294,0)</f>
        <v>0</v>
      </c>
      <c r="C280" s="20" t="s">
        <v>95</v>
      </c>
      <c r="N280" s="20" t="str">
        <f>IF(OR(LEFT('Web Links'!$C280,2)="In",$C280="Error"),"?????",""&amp;C280)</f>
        <v>?????</v>
      </c>
      <c r="O280" s="20" t="str">
        <f>IF(OR(LEFT('Web Links'!$C280,2)="In",$C280="Error"),"??????????",""&amp;D280)</f>
        <v>??????????</v>
      </c>
      <c r="P280" s="20" t="str">
        <f>IF(OR(LEFT('Web Links'!$C280,2)="In",$C280="Error"),"???",IF(LEN(E280)=2,"0",IF(LEN(E280)=1,"00","")))&amp;'Web Links'!E280</f>
        <v>???</v>
      </c>
      <c r="Q280" s="20" t="str">
        <f>IF(OR(LEFT('Web Links'!$C280,2)="In",$C280="Error"),"?????",IF(LEN(G280)=4,"",IF(LEN(G280)=3,"",IF(LEN(G280)=2,"",IF(LEN(G280)=1,"",""))))&amp;'Web Links'!G280)</f>
        <v>?????</v>
      </c>
      <c r="R280" s="20" t="str">
        <f>IF(OR(LEFT('Web Links'!$C280,2)="In",$C280="Error"),"???????????????",""&amp;F280)</f>
        <v>???????????????</v>
      </c>
    </row>
    <row r="281" spans="1:18" x14ac:dyDescent="0.2">
      <c r="A281" s="20">
        <f>IF('GL Template'!B295&lt;&gt;"",'GL Template'!B295,0)</f>
        <v>0</v>
      </c>
      <c r="B281" s="20">
        <f>IF('GL Template'!D295&lt;&gt;"",'GL Template'!D295,0)</f>
        <v>0</v>
      </c>
      <c r="C281" s="20" t="s">
        <v>95</v>
      </c>
      <c r="N281" s="20" t="str">
        <f>IF(OR(LEFT('Web Links'!$C281,2)="In",$C281="Error"),"?????",""&amp;C281)</f>
        <v>?????</v>
      </c>
      <c r="O281" s="20" t="str">
        <f>IF(OR(LEFT('Web Links'!$C281,2)="In",$C281="Error"),"??????????",""&amp;D281)</f>
        <v>??????????</v>
      </c>
      <c r="P281" s="20" t="str">
        <f>IF(OR(LEFT('Web Links'!$C281,2)="In",$C281="Error"),"???",IF(LEN(E281)=2,"0",IF(LEN(E281)=1,"00","")))&amp;'Web Links'!E281</f>
        <v>???</v>
      </c>
      <c r="Q281" s="20" t="str">
        <f>IF(OR(LEFT('Web Links'!$C281,2)="In",$C281="Error"),"?????",IF(LEN(G281)=4,"",IF(LEN(G281)=3,"",IF(LEN(G281)=2,"",IF(LEN(G281)=1,"",""))))&amp;'Web Links'!G281)</f>
        <v>?????</v>
      </c>
      <c r="R281" s="20" t="str">
        <f>IF(OR(LEFT('Web Links'!$C281,2)="In",$C281="Error"),"???????????????",""&amp;F281)</f>
        <v>???????????????</v>
      </c>
    </row>
    <row r="282" spans="1:18" x14ac:dyDescent="0.2">
      <c r="A282" s="20">
        <f>IF('GL Template'!B296&lt;&gt;"",'GL Template'!B296,0)</f>
        <v>0</v>
      </c>
      <c r="B282" s="20">
        <f>IF('GL Template'!D296&lt;&gt;"",'GL Template'!D296,0)</f>
        <v>0</v>
      </c>
      <c r="C282" s="20" t="s">
        <v>95</v>
      </c>
      <c r="N282" s="20" t="str">
        <f>IF(OR(LEFT('Web Links'!$C282,2)="In",$C282="Error"),"?????",""&amp;C282)</f>
        <v>?????</v>
      </c>
      <c r="O282" s="20" t="str">
        <f>IF(OR(LEFT('Web Links'!$C282,2)="In",$C282="Error"),"??????????",""&amp;D282)</f>
        <v>??????????</v>
      </c>
      <c r="P282" s="20" t="str">
        <f>IF(OR(LEFT('Web Links'!$C282,2)="In",$C282="Error"),"???",IF(LEN(E282)=2,"0",IF(LEN(E282)=1,"00","")))&amp;'Web Links'!E282</f>
        <v>???</v>
      </c>
      <c r="Q282" s="20" t="str">
        <f>IF(OR(LEFT('Web Links'!$C282,2)="In",$C282="Error"),"?????",IF(LEN(G282)=4,"",IF(LEN(G282)=3,"",IF(LEN(G282)=2,"",IF(LEN(G282)=1,"",""))))&amp;'Web Links'!G282)</f>
        <v>?????</v>
      </c>
      <c r="R282" s="20" t="str">
        <f>IF(OR(LEFT('Web Links'!$C282,2)="In",$C282="Error"),"???????????????",""&amp;F282)</f>
        <v>???????????????</v>
      </c>
    </row>
    <row r="283" spans="1:18" x14ac:dyDescent="0.2">
      <c r="A283" s="20">
        <f>IF('GL Template'!B297&lt;&gt;"",'GL Template'!B297,0)</f>
        <v>0</v>
      </c>
      <c r="B283" s="20">
        <f>IF('GL Template'!D297&lt;&gt;"",'GL Template'!D297,0)</f>
        <v>0</v>
      </c>
      <c r="C283" s="20" t="s">
        <v>95</v>
      </c>
      <c r="N283" s="20" t="str">
        <f>IF(OR(LEFT('Web Links'!$C283,2)="In",$C283="Error"),"?????",""&amp;C283)</f>
        <v>?????</v>
      </c>
      <c r="O283" s="20" t="str">
        <f>IF(OR(LEFT('Web Links'!$C283,2)="In",$C283="Error"),"??????????",""&amp;D283)</f>
        <v>??????????</v>
      </c>
      <c r="P283" s="20" t="str">
        <f>IF(OR(LEFT('Web Links'!$C283,2)="In",$C283="Error"),"???",IF(LEN(E283)=2,"0",IF(LEN(E283)=1,"00","")))&amp;'Web Links'!E283</f>
        <v>???</v>
      </c>
      <c r="Q283" s="20" t="str">
        <f>IF(OR(LEFT('Web Links'!$C283,2)="In",$C283="Error"),"?????",IF(LEN(G283)=4,"",IF(LEN(G283)=3,"",IF(LEN(G283)=2,"",IF(LEN(G283)=1,"",""))))&amp;'Web Links'!G283)</f>
        <v>?????</v>
      </c>
      <c r="R283" s="20" t="str">
        <f>IF(OR(LEFT('Web Links'!$C283,2)="In",$C283="Error"),"???????????????",""&amp;F283)</f>
        <v>???????????????</v>
      </c>
    </row>
    <row r="284" spans="1:18" x14ac:dyDescent="0.2">
      <c r="A284" s="20">
        <f>IF('GL Template'!B298&lt;&gt;"",'GL Template'!B298,0)</f>
        <v>0</v>
      </c>
      <c r="B284" s="20">
        <f>IF('GL Template'!D298&lt;&gt;"",'GL Template'!D298,0)</f>
        <v>0</v>
      </c>
      <c r="C284" s="20" t="s">
        <v>95</v>
      </c>
      <c r="N284" s="20" t="str">
        <f>IF(OR(LEFT('Web Links'!$C284,2)="In",$C284="Error"),"?????",""&amp;C284)</f>
        <v>?????</v>
      </c>
      <c r="O284" s="20" t="str">
        <f>IF(OR(LEFT('Web Links'!$C284,2)="In",$C284="Error"),"??????????",""&amp;D284)</f>
        <v>??????????</v>
      </c>
      <c r="P284" s="20" t="str">
        <f>IF(OR(LEFT('Web Links'!$C284,2)="In",$C284="Error"),"???",IF(LEN(E284)=2,"0",IF(LEN(E284)=1,"00","")))&amp;'Web Links'!E284</f>
        <v>???</v>
      </c>
      <c r="Q284" s="20" t="str">
        <f>IF(OR(LEFT('Web Links'!$C284,2)="In",$C284="Error"),"?????",IF(LEN(G284)=4,"",IF(LEN(G284)=3,"",IF(LEN(G284)=2,"",IF(LEN(G284)=1,"",""))))&amp;'Web Links'!G284)</f>
        <v>?????</v>
      </c>
      <c r="R284" s="20" t="str">
        <f>IF(OR(LEFT('Web Links'!$C284,2)="In",$C284="Error"),"???????????????",""&amp;F284)</f>
        <v>???????????????</v>
      </c>
    </row>
    <row r="285" spans="1:18" x14ac:dyDescent="0.2">
      <c r="A285" s="20">
        <f>IF('GL Template'!B299&lt;&gt;"",'GL Template'!B299,0)</f>
        <v>0</v>
      </c>
      <c r="B285" s="20">
        <f>IF('GL Template'!D299&lt;&gt;"",'GL Template'!D299,0)</f>
        <v>0</v>
      </c>
      <c r="C285" s="20" t="s">
        <v>95</v>
      </c>
      <c r="N285" s="20" t="str">
        <f>IF(OR(LEFT('Web Links'!$C285,2)="In",$C285="Error"),"?????",""&amp;C285)</f>
        <v>?????</v>
      </c>
      <c r="O285" s="20" t="str">
        <f>IF(OR(LEFT('Web Links'!$C285,2)="In",$C285="Error"),"??????????",""&amp;D285)</f>
        <v>??????????</v>
      </c>
      <c r="P285" s="20" t="str">
        <f>IF(OR(LEFT('Web Links'!$C285,2)="In",$C285="Error"),"???",IF(LEN(E285)=2,"0",IF(LEN(E285)=1,"00","")))&amp;'Web Links'!E285</f>
        <v>???</v>
      </c>
      <c r="Q285" s="20" t="str">
        <f>IF(OR(LEFT('Web Links'!$C285,2)="In",$C285="Error"),"?????",IF(LEN(G285)=4,"",IF(LEN(G285)=3,"",IF(LEN(G285)=2,"",IF(LEN(G285)=1,"",""))))&amp;'Web Links'!G285)</f>
        <v>?????</v>
      </c>
      <c r="R285" s="20" t="str">
        <f>IF(OR(LEFT('Web Links'!$C285,2)="In",$C285="Error"),"???????????????",""&amp;F285)</f>
        <v>???????????????</v>
      </c>
    </row>
    <row r="286" spans="1:18" x14ac:dyDescent="0.2">
      <c r="A286" s="20">
        <f>IF('GL Template'!B300&lt;&gt;"",'GL Template'!B300,0)</f>
        <v>0</v>
      </c>
      <c r="B286" s="20">
        <f>IF('GL Template'!D300&lt;&gt;"",'GL Template'!D300,0)</f>
        <v>0</v>
      </c>
      <c r="C286" s="20" t="s">
        <v>95</v>
      </c>
      <c r="N286" s="20" t="str">
        <f>IF(OR(LEFT('Web Links'!$C286,2)="In",$C286="Error"),"?????",""&amp;C286)</f>
        <v>?????</v>
      </c>
      <c r="O286" s="20" t="str">
        <f>IF(OR(LEFT('Web Links'!$C286,2)="In",$C286="Error"),"??????????",""&amp;D286)</f>
        <v>??????????</v>
      </c>
      <c r="P286" s="20" t="str">
        <f>IF(OR(LEFT('Web Links'!$C286,2)="In",$C286="Error"),"???",IF(LEN(E286)=2,"0",IF(LEN(E286)=1,"00","")))&amp;'Web Links'!E286</f>
        <v>???</v>
      </c>
      <c r="Q286" s="20" t="str">
        <f>IF(OR(LEFT('Web Links'!$C286,2)="In",$C286="Error"),"?????",IF(LEN(G286)=4,"",IF(LEN(G286)=3,"",IF(LEN(G286)=2,"",IF(LEN(G286)=1,"",""))))&amp;'Web Links'!G286)</f>
        <v>?????</v>
      </c>
      <c r="R286" s="20" t="str">
        <f>IF(OR(LEFT('Web Links'!$C286,2)="In",$C286="Error"),"???????????????",""&amp;F286)</f>
        <v>???????????????</v>
      </c>
    </row>
    <row r="287" spans="1:18" x14ac:dyDescent="0.2">
      <c r="A287" s="20">
        <f>IF('GL Template'!B301&lt;&gt;"",'GL Template'!B301,0)</f>
        <v>0</v>
      </c>
      <c r="B287" s="20">
        <f>IF('GL Template'!D301&lt;&gt;"",'GL Template'!D301,0)</f>
        <v>0</v>
      </c>
      <c r="C287" s="20" t="s">
        <v>95</v>
      </c>
      <c r="N287" s="20" t="str">
        <f>IF(OR(LEFT('Web Links'!$C287,2)="In",$C287="Error"),"?????",""&amp;C287)</f>
        <v>?????</v>
      </c>
      <c r="O287" s="20" t="str">
        <f>IF(OR(LEFT('Web Links'!$C287,2)="In",$C287="Error"),"??????????",""&amp;D287)</f>
        <v>??????????</v>
      </c>
      <c r="P287" s="20" t="str">
        <f>IF(OR(LEFT('Web Links'!$C287,2)="In",$C287="Error"),"???",IF(LEN(E287)=2,"0",IF(LEN(E287)=1,"00","")))&amp;'Web Links'!E287</f>
        <v>???</v>
      </c>
      <c r="Q287" s="20" t="str">
        <f>IF(OR(LEFT('Web Links'!$C287,2)="In",$C287="Error"),"?????",IF(LEN(G287)=4,"",IF(LEN(G287)=3,"",IF(LEN(G287)=2,"",IF(LEN(G287)=1,"",""))))&amp;'Web Links'!G287)</f>
        <v>?????</v>
      </c>
      <c r="R287" s="20" t="str">
        <f>IF(OR(LEFT('Web Links'!$C287,2)="In",$C287="Error"),"???????????????",""&amp;F287)</f>
        <v>???????????????</v>
      </c>
    </row>
    <row r="288" spans="1:18" x14ac:dyDescent="0.2">
      <c r="A288" s="20">
        <f>IF('GL Template'!B302&lt;&gt;"",'GL Template'!B302,0)</f>
        <v>0</v>
      </c>
      <c r="B288" s="20">
        <f>IF('GL Template'!D302&lt;&gt;"",'GL Template'!D302,0)</f>
        <v>0</v>
      </c>
      <c r="C288" s="20" t="s">
        <v>95</v>
      </c>
      <c r="N288" s="20" t="str">
        <f>IF(OR(LEFT('Web Links'!$C288,2)="In",$C288="Error"),"?????",""&amp;C288)</f>
        <v>?????</v>
      </c>
      <c r="O288" s="20" t="str">
        <f>IF(OR(LEFT('Web Links'!$C288,2)="In",$C288="Error"),"??????????",""&amp;D288)</f>
        <v>??????????</v>
      </c>
      <c r="P288" s="20" t="str">
        <f>IF(OR(LEFT('Web Links'!$C288,2)="In",$C288="Error"),"???",IF(LEN(E288)=2,"0",IF(LEN(E288)=1,"00","")))&amp;'Web Links'!E288</f>
        <v>???</v>
      </c>
      <c r="Q288" s="20" t="str">
        <f>IF(OR(LEFT('Web Links'!$C288,2)="In",$C288="Error"),"?????",IF(LEN(G288)=4,"",IF(LEN(G288)=3,"",IF(LEN(G288)=2,"",IF(LEN(G288)=1,"",""))))&amp;'Web Links'!G288)</f>
        <v>?????</v>
      </c>
      <c r="R288" s="20" t="str">
        <f>IF(OR(LEFT('Web Links'!$C288,2)="In",$C288="Error"),"???????????????",""&amp;F288)</f>
        <v>???????????????</v>
      </c>
    </row>
    <row r="289" spans="1:18" x14ac:dyDescent="0.2">
      <c r="A289" s="20">
        <f>IF('GL Template'!B303&lt;&gt;"",'GL Template'!B303,0)</f>
        <v>0</v>
      </c>
      <c r="B289" s="20">
        <f>IF('GL Template'!D303&lt;&gt;"",'GL Template'!D303,0)</f>
        <v>0</v>
      </c>
      <c r="C289" s="20" t="s">
        <v>95</v>
      </c>
      <c r="N289" s="20" t="str">
        <f>IF(OR(LEFT('Web Links'!$C289,2)="In",$C289="Error"),"?????",""&amp;C289)</f>
        <v>?????</v>
      </c>
      <c r="O289" s="20" t="str">
        <f>IF(OR(LEFT('Web Links'!$C289,2)="In",$C289="Error"),"??????????",""&amp;D289)</f>
        <v>??????????</v>
      </c>
      <c r="P289" s="20" t="str">
        <f>IF(OR(LEFT('Web Links'!$C289,2)="In",$C289="Error"),"???",IF(LEN(E289)=2,"0",IF(LEN(E289)=1,"00","")))&amp;'Web Links'!E289</f>
        <v>???</v>
      </c>
      <c r="Q289" s="20" t="str">
        <f>IF(OR(LEFT('Web Links'!$C289,2)="In",$C289="Error"),"?????",IF(LEN(G289)=4,"",IF(LEN(G289)=3,"",IF(LEN(G289)=2,"",IF(LEN(G289)=1,"",""))))&amp;'Web Links'!G289)</f>
        <v>?????</v>
      </c>
      <c r="R289" s="20" t="str">
        <f>IF(OR(LEFT('Web Links'!$C289,2)="In",$C289="Error"),"???????????????",""&amp;F289)</f>
        <v>???????????????</v>
      </c>
    </row>
    <row r="290" spans="1:18" x14ac:dyDescent="0.2">
      <c r="A290" s="20">
        <f>IF('GL Template'!B304&lt;&gt;"",'GL Template'!B304,0)</f>
        <v>0</v>
      </c>
      <c r="B290" s="20">
        <f>IF('GL Template'!D304&lt;&gt;"",'GL Template'!D304,0)</f>
        <v>0</v>
      </c>
      <c r="C290" s="20" t="s">
        <v>95</v>
      </c>
      <c r="N290" s="20" t="str">
        <f>IF(OR(LEFT('Web Links'!$C290,2)="In",$C290="Error"),"?????",""&amp;C290)</f>
        <v>?????</v>
      </c>
      <c r="O290" s="20" t="str">
        <f>IF(OR(LEFT('Web Links'!$C290,2)="In",$C290="Error"),"??????????",""&amp;D290)</f>
        <v>??????????</v>
      </c>
      <c r="P290" s="20" t="str">
        <f>IF(OR(LEFT('Web Links'!$C290,2)="In",$C290="Error"),"???",IF(LEN(E290)=2,"0",IF(LEN(E290)=1,"00","")))&amp;'Web Links'!E290</f>
        <v>???</v>
      </c>
      <c r="Q290" s="20" t="str">
        <f>IF(OR(LEFT('Web Links'!$C290,2)="In",$C290="Error"),"?????",IF(LEN(G290)=4,"",IF(LEN(G290)=3,"",IF(LEN(G290)=2,"",IF(LEN(G290)=1,"",""))))&amp;'Web Links'!G290)</f>
        <v>?????</v>
      </c>
      <c r="R290" s="20" t="str">
        <f>IF(OR(LEFT('Web Links'!$C290,2)="In",$C290="Error"),"???????????????",""&amp;F290)</f>
        <v>???????????????</v>
      </c>
    </row>
    <row r="291" spans="1:18" x14ac:dyDescent="0.2">
      <c r="A291" s="20">
        <f>IF('GL Template'!B305&lt;&gt;"",'GL Template'!B305,0)</f>
        <v>0</v>
      </c>
      <c r="B291" s="20">
        <f>IF('GL Template'!D305&lt;&gt;"",'GL Template'!D305,0)</f>
        <v>0</v>
      </c>
      <c r="C291" s="20" t="s">
        <v>95</v>
      </c>
      <c r="N291" s="20" t="str">
        <f>IF(OR(LEFT('Web Links'!$C291,2)="In",$C291="Error"),"?????",""&amp;C291)</f>
        <v>?????</v>
      </c>
      <c r="O291" s="20" t="str">
        <f>IF(OR(LEFT('Web Links'!$C291,2)="In",$C291="Error"),"??????????",""&amp;D291)</f>
        <v>??????????</v>
      </c>
      <c r="P291" s="20" t="str">
        <f>IF(OR(LEFT('Web Links'!$C291,2)="In",$C291="Error"),"???",IF(LEN(E291)=2,"0",IF(LEN(E291)=1,"00","")))&amp;'Web Links'!E291</f>
        <v>???</v>
      </c>
      <c r="Q291" s="20" t="str">
        <f>IF(OR(LEFT('Web Links'!$C291,2)="In",$C291="Error"),"?????",IF(LEN(G291)=4,"",IF(LEN(G291)=3,"",IF(LEN(G291)=2,"",IF(LEN(G291)=1,"",""))))&amp;'Web Links'!G291)</f>
        <v>?????</v>
      </c>
      <c r="R291" s="20" t="str">
        <f>IF(OR(LEFT('Web Links'!$C291,2)="In",$C291="Error"),"???????????????",""&amp;F291)</f>
        <v>???????????????</v>
      </c>
    </row>
    <row r="292" spans="1:18" x14ac:dyDescent="0.2">
      <c r="A292" s="20">
        <f>IF('GL Template'!B306&lt;&gt;"",'GL Template'!B306,0)</f>
        <v>0</v>
      </c>
      <c r="B292" s="20">
        <f>IF('GL Template'!D306&lt;&gt;"",'GL Template'!D306,0)</f>
        <v>0</v>
      </c>
      <c r="C292" s="20" t="s">
        <v>95</v>
      </c>
      <c r="N292" s="20" t="str">
        <f>IF(OR(LEFT('Web Links'!$C292,2)="In",$C292="Error"),"?????",""&amp;C292)</f>
        <v>?????</v>
      </c>
      <c r="O292" s="20" t="str">
        <f>IF(OR(LEFT('Web Links'!$C292,2)="In",$C292="Error"),"??????????",""&amp;D292)</f>
        <v>??????????</v>
      </c>
      <c r="P292" s="20" t="str">
        <f>IF(OR(LEFT('Web Links'!$C292,2)="In",$C292="Error"),"???",IF(LEN(E292)=2,"0",IF(LEN(E292)=1,"00","")))&amp;'Web Links'!E292</f>
        <v>???</v>
      </c>
      <c r="Q292" s="20" t="str">
        <f>IF(OR(LEFT('Web Links'!$C292,2)="In",$C292="Error"),"?????",IF(LEN(G292)=4,"",IF(LEN(G292)=3,"",IF(LEN(G292)=2,"",IF(LEN(G292)=1,"",""))))&amp;'Web Links'!G292)</f>
        <v>?????</v>
      </c>
      <c r="R292" s="20" t="str">
        <f>IF(OR(LEFT('Web Links'!$C292,2)="In",$C292="Error"),"???????????????",""&amp;F292)</f>
        <v>???????????????</v>
      </c>
    </row>
    <row r="293" spans="1:18" x14ac:dyDescent="0.2">
      <c r="A293" s="20">
        <f>IF('GL Template'!B307&lt;&gt;"",'GL Template'!B307,0)</f>
        <v>0</v>
      </c>
      <c r="B293" s="20">
        <f>IF('GL Template'!D307&lt;&gt;"",'GL Template'!D307,0)</f>
        <v>0</v>
      </c>
      <c r="C293" s="20" t="s">
        <v>95</v>
      </c>
      <c r="N293" s="20" t="str">
        <f>IF(OR(LEFT('Web Links'!$C293,2)="In",$C293="Error"),"?????",""&amp;C293)</f>
        <v>?????</v>
      </c>
      <c r="O293" s="20" t="str">
        <f>IF(OR(LEFT('Web Links'!$C293,2)="In",$C293="Error"),"??????????",""&amp;D293)</f>
        <v>??????????</v>
      </c>
      <c r="P293" s="20" t="str">
        <f>IF(OR(LEFT('Web Links'!$C293,2)="In",$C293="Error"),"???",IF(LEN(E293)=2,"0",IF(LEN(E293)=1,"00","")))&amp;'Web Links'!E293</f>
        <v>???</v>
      </c>
      <c r="Q293" s="20" t="str">
        <f>IF(OR(LEFT('Web Links'!$C293,2)="In",$C293="Error"),"?????",IF(LEN(G293)=4,"",IF(LEN(G293)=3,"",IF(LEN(G293)=2,"",IF(LEN(G293)=1,"",""))))&amp;'Web Links'!G293)</f>
        <v>?????</v>
      </c>
      <c r="R293" s="20" t="str">
        <f>IF(OR(LEFT('Web Links'!$C293,2)="In",$C293="Error"),"???????????????",""&amp;F293)</f>
        <v>???????????????</v>
      </c>
    </row>
    <row r="294" spans="1:18" x14ac:dyDescent="0.2">
      <c r="A294" s="20">
        <f>IF('GL Template'!B308&lt;&gt;"",'GL Template'!B308,0)</f>
        <v>0</v>
      </c>
      <c r="B294" s="20">
        <f>IF('GL Template'!D308&lt;&gt;"",'GL Template'!D308,0)</f>
        <v>0</v>
      </c>
      <c r="C294" s="20" t="s">
        <v>95</v>
      </c>
      <c r="N294" s="20" t="str">
        <f>IF(OR(LEFT('Web Links'!$C294,2)="In",$C294="Error"),"?????",""&amp;C294)</f>
        <v>?????</v>
      </c>
      <c r="O294" s="20" t="str">
        <f>IF(OR(LEFT('Web Links'!$C294,2)="In",$C294="Error"),"??????????",""&amp;D294)</f>
        <v>??????????</v>
      </c>
      <c r="P294" s="20" t="str">
        <f>IF(OR(LEFT('Web Links'!$C294,2)="In",$C294="Error"),"???",IF(LEN(E294)=2,"0",IF(LEN(E294)=1,"00","")))&amp;'Web Links'!E294</f>
        <v>???</v>
      </c>
      <c r="Q294" s="20" t="str">
        <f>IF(OR(LEFT('Web Links'!$C294,2)="In",$C294="Error"),"?????",IF(LEN(G294)=4,"",IF(LEN(G294)=3,"",IF(LEN(G294)=2,"",IF(LEN(G294)=1,"",""))))&amp;'Web Links'!G294)</f>
        <v>?????</v>
      </c>
      <c r="R294" s="20" t="str">
        <f>IF(OR(LEFT('Web Links'!$C294,2)="In",$C294="Error"),"???????????????",""&amp;F294)</f>
        <v>???????????????</v>
      </c>
    </row>
    <row r="295" spans="1:18" x14ac:dyDescent="0.2">
      <c r="A295" s="20">
        <f>IF('GL Template'!B309&lt;&gt;"",'GL Template'!B309,0)</f>
        <v>0</v>
      </c>
      <c r="B295" s="20">
        <f>IF('GL Template'!D309&lt;&gt;"",'GL Template'!D309,0)</f>
        <v>0</v>
      </c>
      <c r="C295" s="20" t="s">
        <v>95</v>
      </c>
      <c r="N295" s="20" t="str">
        <f>IF(OR(LEFT('Web Links'!$C295,2)="In",$C295="Error"),"?????",""&amp;C295)</f>
        <v>?????</v>
      </c>
      <c r="O295" s="20" t="str">
        <f>IF(OR(LEFT('Web Links'!$C295,2)="In",$C295="Error"),"??????????",""&amp;D295)</f>
        <v>??????????</v>
      </c>
      <c r="P295" s="20" t="str">
        <f>IF(OR(LEFT('Web Links'!$C295,2)="In",$C295="Error"),"???",IF(LEN(E295)=2,"0",IF(LEN(E295)=1,"00","")))&amp;'Web Links'!E295</f>
        <v>???</v>
      </c>
      <c r="Q295" s="20" t="str">
        <f>IF(OR(LEFT('Web Links'!$C295,2)="In",$C295="Error"),"?????",IF(LEN(G295)=4,"",IF(LEN(G295)=3,"",IF(LEN(G295)=2,"",IF(LEN(G295)=1,"",""))))&amp;'Web Links'!G295)</f>
        <v>?????</v>
      </c>
      <c r="R295" s="20" t="str">
        <f>IF(OR(LEFT('Web Links'!$C295,2)="In",$C295="Error"),"???????????????",""&amp;F295)</f>
        <v>???????????????</v>
      </c>
    </row>
    <row r="296" spans="1:18" x14ac:dyDescent="0.2">
      <c r="A296" s="20">
        <f>IF('GL Template'!B310&lt;&gt;"",'GL Template'!B310,0)</f>
        <v>0</v>
      </c>
      <c r="B296" s="20">
        <f>IF('GL Template'!D310&lt;&gt;"",'GL Template'!D310,0)</f>
        <v>0</v>
      </c>
      <c r="C296" s="20" t="s">
        <v>95</v>
      </c>
      <c r="N296" s="20" t="str">
        <f>IF(OR(LEFT('Web Links'!$C296,2)="In",$C296="Error"),"?????",""&amp;C296)</f>
        <v>?????</v>
      </c>
      <c r="O296" s="20" t="str">
        <f>IF(OR(LEFT('Web Links'!$C296,2)="In",$C296="Error"),"??????????",""&amp;D296)</f>
        <v>??????????</v>
      </c>
      <c r="P296" s="20" t="str">
        <f>IF(OR(LEFT('Web Links'!$C296,2)="In",$C296="Error"),"???",IF(LEN(E296)=2,"0",IF(LEN(E296)=1,"00","")))&amp;'Web Links'!E296</f>
        <v>???</v>
      </c>
      <c r="Q296" s="20" t="str">
        <f>IF(OR(LEFT('Web Links'!$C296,2)="In",$C296="Error"),"?????",IF(LEN(G296)=4,"",IF(LEN(G296)=3,"",IF(LEN(G296)=2,"",IF(LEN(G296)=1,"",""))))&amp;'Web Links'!G296)</f>
        <v>?????</v>
      </c>
      <c r="R296" s="20" t="str">
        <f>IF(OR(LEFT('Web Links'!$C296,2)="In",$C296="Error"),"???????????????",""&amp;F296)</f>
        <v>???????????????</v>
      </c>
    </row>
    <row r="297" spans="1:18" x14ac:dyDescent="0.2">
      <c r="A297" s="20">
        <f>IF('GL Template'!B311&lt;&gt;"",'GL Template'!B311,0)</f>
        <v>0</v>
      </c>
      <c r="B297" s="20">
        <f>IF('GL Template'!D311&lt;&gt;"",'GL Template'!D311,0)</f>
        <v>0</v>
      </c>
      <c r="C297" s="20" t="s">
        <v>95</v>
      </c>
      <c r="N297" s="20" t="str">
        <f>IF(OR(LEFT('Web Links'!$C297,2)="In",$C297="Error"),"?????",""&amp;C297)</f>
        <v>?????</v>
      </c>
      <c r="O297" s="20" t="str">
        <f>IF(OR(LEFT('Web Links'!$C297,2)="In",$C297="Error"),"??????????",""&amp;D297)</f>
        <v>??????????</v>
      </c>
      <c r="P297" s="20" t="str">
        <f>IF(OR(LEFT('Web Links'!$C297,2)="In",$C297="Error"),"???",IF(LEN(E297)=2,"0",IF(LEN(E297)=1,"00","")))&amp;'Web Links'!E297</f>
        <v>???</v>
      </c>
      <c r="Q297" s="20" t="str">
        <f>IF(OR(LEFT('Web Links'!$C297,2)="In",$C297="Error"),"?????",IF(LEN(G297)=4,"",IF(LEN(G297)=3,"",IF(LEN(G297)=2,"",IF(LEN(G297)=1,"",""))))&amp;'Web Links'!G297)</f>
        <v>?????</v>
      </c>
      <c r="R297" s="20" t="str">
        <f>IF(OR(LEFT('Web Links'!$C297,2)="In",$C297="Error"),"???????????????",""&amp;F297)</f>
        <v>???????????????</v>
      </c>
    </row>
    <row r="298" spans="1:18" x14ac:dyDescent="0.2">
      <c r="A298" s="20">
        <f>IF('GL Template'!B312&lt;&gt;"",'GL Template'!B312,0)</f>
        <v>0</v>
      </c>
      <c r="B298" s="20">
        <f>IF('GL Template'!D312&lt;&gt;"",'GL Template'!D312,0)</f>
        <v>0</v>
      </c>
      <c r="C298" s="20" t="s">
        <v>95</v>
      </c>
      <c r="N298" s="20" t="str">
        <f>IF(OR(LEFT('Web Links'!$C298,2)="In",$C298="Error"),"?????",""&amp;C298)</f>
        <v>?????</v>
      </c>
      <c r="O298" s="20" t="str">
        <f>IF(OR(LEFT('Web Links'!$C298,2)="In",$C298="Error"),"??????????",""&amp;D298)</f>
        <v>??????????</v>
      </c>
      <c r="P298" s="20" t="str">
        <f>IF(OR(LEFT('Web Links'!$C298,2)="In",$C298="Error"),"???",IF(LEN(E298)=2,"0",IF(LEN(E298)=1,"00","")))&amp;'Web Links'!E298</f>
        <v>???</v>
      </c>
      <c r="Q298" s="20" t="str">
        <f>IF(OR(LEFT('Web Links'!$C298,2)="In",$C298="Error"),"?????",IF(LEN(G298)=4,"",IF(LEN(G298)=3,"",IF(LEN(G298)=2,"",IF(LEN(G298)=1,"",""))))&amp;'Web Links'!G298)</f>
        <v>?????</v>
      </c>
      <c r="R298" s="20" t="str">
        <f>IF(OR(LEFT('Web Links'!$C298,2)="In",$C298="Error"),"???????????????",""&amp;F298)</f>
        <v>???????????????</v>
      </c>
    </row>
    <row r="299" spans="1:18" x14ac:dyDescent="0.2">
      <c r="A299" s="20">
        <f>IF('GL Template'!B313&lt;&gt;"",'GL Template'!B313,0)</f>
        <v>0</v>
      </c>
      <c r="B299" s="20">
        <f>IF('GL Template'!D313&lt;&gt;"",'GL Template'!D313,0)</f>
        <v>0</v>
      </c>
      <c r="C299" s="20" t="s">
        <v>95</v>
      </c>
      <c r="N299" s="20" t="str">
        <f>IF(OR(LEFT('Web Links'!$C299,2)="In",$C299="Error"),"?????",""&amp;C299)</f>
        <v>?????</v>
      </c>
      <c r="O299" s="20" t="str">
        <f>IF(OR(LEFT('Web Links'!$C299,2)="In",$C299="Error"),"??????????",""&amp;D299)</f>
        <v>??????????</v>
      </c>
      <c r="P299" s="20" t="str">
        <f>IF(OR(LEFT('Web Links'!$C299,2)="In",$C299="Error"),"???",IF(LEN(E299)=2,"0",IF(LEN(E299)=1,"00","")))&amp;'Web Links'!E299</f>
        <v>???</v>
      </c>
      <c r="Q299" s="20" t="str">
        <f>IF(OR(LEFT('Web Links'!$C299,2)="In",$C299="Error"),"?????",IF(LEN(G299)=4,"",IF(LEN(G299)=3,"",IF(LEN(G299)=2,"",IF(LEN(G299)=1,"",""))))&amp;'Web Links'!G299)</f>
        <v>?????</v>
      </c>
      <c r="R299" s="20" t="str">
        <f>IF(OR(LEFT('Web Links'!$C299,2)="In",$C299="Error"),"???????????????",""&amp;F299)</f>
        <v>???????????????</v>
      </c>
    </row>
    <row r="300" spans="1:18" x14ac:dyDescent="0.2">
      <c r="A300" s="20">
        <f>IF('GL Template'!B314&lt;&gt;"",'GL Template'!B314,0)</f>
        <v>0</v>
      </c>
      <c r="B300" s="20">
        <f>IF('GL Template'!D314&lt;&gt;"",'GL Template'!D314,0)</f>
        <v>0</v>
      </c>
      <c r="C300" s="20" t="s">
        <v>95</v>
      </c>
      <c r="N300" s="20" t="str">
        <f>IF(OR(LEFT('Web Links'!$C300,2)="In",$C300="Error"),"?????",""&amp;C300)</f>
        <v>?????</v>
      </c>
      <c r="O300" s="20" t="str">
        <f>IF(OR(LEFT('Web Links'!$C300,2)="In",$C300="Error"),"??????????",""&amp;D300)</f>
        <v>??????????</v>
      </c>
      <c r="P300" s="20" t="str">
        <f>IF(OR(LEFT('Web Links'!$C300,2)="In",$C300="Error"),"???",IF(LEN(E300)=2,"0",IF(LEN(E300)=1,"00","")))&amp;'Web Links'!E300</f>
        <v>???</v>
      </c>
      <c r="Q300" s="20" t="str">
        <f>IF(OR(LEFT('Web Links'!$C300,2)="In",$C300="Error"),"?????",IF(LEN(G300)=4,"",IF(LEN(G300)=3,"",IF(LEN(G300)=2,"",IF(LEN(G300)=1,"",""))))&amp;'Web Links'!G300)</f>
        <v>?????</v>
      </c>
      <c r="R300" s="20" t="str">
        <f>IF(OR(LEFT('Web Links'!$C300,2)="In",$C300="Error"),"???????????????",""&amp;F300)</f>
        <v>???????????????</v>
      </c>
    </row>
    <row r="301" spans="1:18" x14ac:dyDescent="0.2">
      <c r="A301" s="20">
        <f>IF('GL Template'!B315&lt;&gt;"",'GL Template'!B315,0)</f>
        <v>0</v>
      </c>
      <c r="B301" s="20">
        <f>IF('GL Template'!D315&lt;&gt;"",'GL Template'!D315,0)</f>
        <v>0</v>
      </c>
      <c r="C301" s="20" t="s">
        <v>95</v>
      </c>
      <c r="N301" s="20" t="str">
        <f>IF(OR(LEFT('Web Links'!$C301,2)="In",$C301="Error"),"?????",""&amp;C301)</f>
        <v>?????</v>
      </c>
      <c r="O301" s="20" t="str">
        <f>IF(OR(LEFT('Web Links'!$C301,2)="In",$C301="Error"),"??????????",""&amp;D301)</f>
        <v>??????????</v>
      </c>
      <c r="P301" s="20" t="str">
        <f>IF(OR(LEFT('Web Links'!$C301,2)="In",$C301="Error"),"???",IF(LEN(E301)=2,"0",IF(LEN(E301)=1,"00","")))&amp;'Web Links'!E301</f>
        <v>???</v>
      </c>
      <c r="Q301" s="20" t="str">
        <f>IF(OR(LEFT('Web Links'!$C301,2)="In",$C301="Error"),"?????",IF(LEN(G301)=4,"",IF(LEN(G301)=3,"",IF(LEN(G301)=2,"",IF(LEN(G301)=1,"",""))))&amp;'Web Links'!G301)</f>
        <v>?????</v>
      </c>
      <c r="R301" s="20" t="str">
        <f>IF(OR(LEFT('Web Links'!$C301,2)="In",$C301="Error"),"???????????????",""&amp;F301)</f>
        <v>???????????????</v>
      </c>
    </row>
    <row r="302" spans="1:18" x14ac:dyDescent="0.2">
      <c r="A302" s="20">
        <f>IF('GL Template'!B316&lt;&gt;"",'GL Template'!B316,0)</f>
        <v>0</v>
      </c>
      <c r="B302" s="20">
        <f>IF('GL Template'!D316&lt;&gt;"",'GL Template'!D316,0)</f>
        <v>0</v>
      </c>
      <c r="C302" s="20" t="s">
        <v>95</v>
      </c>
      <c r="N302" s="20" t="str">
        <f>IF(OR(LEFT('Web Links'!$C302,2)="In",$C302="Error"),"?????",""&amp;C302)</f>
        <v>?????</v>
      </c>
      <c r="O302" s="20" t="str">
        <f>IF(OR(LEFT('Web Links'!$C302,2)="In",$C302="Error"),"??????????",""&amp;D302)</f>
        <v>??????????</v>
      </c>
      <c r="P302" s="20" t="str">
        <f>IF(OR(LEFT('Web Links'!$C302,2)="In",$C302="Error"),"???",IF(LEN(E302)=2,"0",IF(LEN(E302)=1,"00","")))&amp;'Web Links'!E302</f>
        <v>???</v>
      </c>
      <c r="Q302" s="20" t="str">
        <f>IF(OR(LEFT('Web Links'!$C302,2)="In",$C302="Error"),"?????",IF(LEN(G302)=4,"",IF(LEN(G302)=3,"",IF(LEN(G302)=2,"",IF(LEN(G302)=1,"",""))))&amp;'Web Links'!G302)</f>
        <v>?????</v>
      </c>
      <c r="R302" s="20" t="str">
        <f>IF(OR(LEFT('Web Links'!$C302,2)="In",$C302="Error"),"???????????????",""&amp;F302)</f>
        <v>???????????????</v>
      </c>
    </row>
    <row r="303" spans="1:18" x14ac:dyDescent="0.2">
      <c r="A303" s="20">
        <f>IF('GL Template'!B317&lt;&gt;"",'GL Template'!B317,0)</f>
        <v>0</v>
      </c>
      <c r="B303" s="20">
        <f>IF('GL Template'!D317&lt;&gt;"",'GL Template'!D317,0)</f>
        <v>0</v>
      </c>
      <c r="C303" s="20" t="s">
        <v>95</v>
      </c>
      <c r="N303" s="20" t="str">
        <f>IF(OR(LEFT('Web Links'!$C303,2)="In",$C303="Error"),"?????",""&amp;C303)</f>
        <v>?????</v>
      </c>
      <c r="O303" s="20" t="str">
        <f>IF(OR(LEFT('Web Links'!$C303,2)="In",$C303="Error"),"??????????",""&amp;D303)</f>
        <v>??????????</v>
      </c>
      <c r="P303" s="20" t="str">
        <f>IF(OR(LEFT('Web Links'!$C303,2)="In",$C303="Error"),"???",IF(LEN(E303)=2,"0",IF(LEN(E303)=1,"00","")))&amp;'Web Links'!E303</f>
        <v>???</v>
      </c>
      <c r="Q303" s="20" t="str">
        <f>IF(OR(LEFT('Web Links'!$C303,2)="In",$C303="Error"),"?????",IF(LEN(G303)=4,"",IF(LEN(G303)=3,"",IF(LEN(G303)=2,"",IF(LEN(G303)=1,"",""))))&amp;'Web Links'!G303)</f>
        <v>?????</v>
      </c>
      <c r="R303" s="20" t="str">
        <f>IF(OR(LEFT('Web Links'!$C303,2)="In",$C303="Error"),"???????????????",""&amp;F303)</f>
        <v>???????????????</v>
      </c>
    </row>
    <row r="304" spans="1:18" x14ac:dyDescent="0.2">
      <c r="A304" s="20">
        <f>IF('GL Template'!B318&lt;&gt;"",'GL Template'!B318,0)</f>
        <v>0</v>
      </c>
      <c r="B304" s="20">
        <f>IF('GL Template'!D318&lt;&gt;"",'GL Template'!D318,0)</f>
        <v>0</v>
      </c>
      <c r="C304" s="20" t="s">
        <v>95</v>
      </c>
      <c r="N304" s="20" t="str">
        <f>IF(OR(LEFT('Web Links'!$C304,2)="In",$C304="Error"),"?????",""&amp;C304)</f>
        <v>?????</v>
      </c>
      <c r="O304" s="20" t="str">
        <f>IF(OR(LEFT('Web Links'!$C304,2)="In",$C304="Error"),"??????????",""&amp;D304)</f>
        <v>??????????</v>
      </c>
      <c r="P304" s="20" t="str">
        <f>IF(OR(LEFT('Web Links'!$C304,2)="In",$C304="Error"),"???",IF(LEN(E304)=2,"0",IF(LEN(E304)=1,"00","")))&amp;'Web Links'!E304</f>
        <v>???</v>
      </c>
      <c r="Q304" s="20" t="str">
        <f>IF(OR(LEFT('Web Links'!$C304,2)="In",$C304="Error"),"?????",IF(LEN(G304)=4,"",IF(LEN(G304)=3,"",IF(LEN(G304)=2,"",IF(LEN(G304)=1,"",""))))&amp;'Web Links'!G304)</f>
        <v>?????</v>
      </c>
      <c r="R304" s="20" t="str">
        <f>IF(OR(LEFT('Web Links'!$C304,2)="In",$C304="Error"),"???????????????",""&amp;F304)</f>
        <v>???????????????</v>
      </c>
    </row>
    <row r="305" spans="1:18" x14ac:dyDescent="0.2">
      <c r="A305" s="20">
        <f>IF('GL Template'!B319&lt;&gt;"",'GL Template'!B319,0)</f>
        <v>0</v>
      </c>
      <c r="B305" s="20">
        <f>IF('GL Template'!D319&lt;&gt;"",'GL Template'!D319,0)</f>
        <v>0</v>
      </c>
      <c r="C305" s="20" t="s">
        <v>95</v>
      </c>
      <c r="N305" s="20" t="str">
        <f>IF(OR(LEFT('Web Links'!$C305,2)="In",$C305="Error"),"?????",""&amp;C305)</f>
        <v>?????</v>
      </c>
      <c r="O305" s="20" t="str">
        <f>IF(OR(LEFT('Web Links'!$C305,2)="In",$C305="Error"),"??????????",""&amp;D305)</f>
        <v>??????????</v>
      </c>
      <c r="P305" s="20" t="str">
        <f>IF(OR(LEFT('Web Links'!$C305,2)="In",$C305="Error"),"???",IF(LEN(E305)=2,"0",IF(LEN(E305)=1,"00","")))&amp;'Web Links'!E305</f>
        <v>???</v>
      </c>
      <c r="Q305" s="20" t="str">
        <f>IF(OR(LEFT('Web Links'!$C305,2)="In",$C305="Error"),"?????",IF(LEN(G305)=4,"",IF(LEN(G305)=3,"",IF(LEN(G305)=2,"",IF(LEN(G305)=1,"",""))))&amp;'Web Links'!G305)</f>
        <v>?????</v>
      </c>
      <c r="R305" s="20" t="str">
        <f>IF(OR(LEFT('Web Links'!$C305,2)="In",$C305="Error"),"???????????????",""&amp;F305)</f>
        <v>???????????????</v>
      </c>
    </row>
    <row r="306" spans="1:18" x14ac:dyDescent="0.2">
      <c r="A306" s="20">
        <f>IF('GL Template'!B320&lt;&gt;"",'GL Template'!B320,0)</f>
        <v>0</v>
      </c>
      <c r="B306" s="20">
        <f>IF('GL Template'!D320&lt;&gt;"",'GL Template'!D320,0)</f>
        <v>0</v>
      </c>
      <c r="C306" s="20" t="s">
        <v>95</v>
      </c>
      <c r="N306" s="20" t="str">
        <f>IF(OR(LEFT('Web Links'!$C306,2)="In",$C306="Error"),"?????",""&amp;C306)</f>
        <v>?????</v>
      </c>
      <c r="O306" s="20" t="str">
        <f>IF(OR(LEFT('Web Links'!$C306,2)="In",$C306="Error"),"??????????",""&amp;D306)</f>
        <v>??????????</v>
      </c>
      <c r="P306" s="20" t="str">
        <f>IF(OR(LEFT('Web Links'!$C306,2)="In",$C306="Error"),"???",IF(LEN(E306)=2,"0",IF(LEN(E306)=1,"00","")))&amp;'Web Links'!E306</f>
        <v>???</v>
      </c>
      <c r="Q306" s="20" t="str">
        <f>IF(OR(LEFT('Web Links'!$C306,2)="In",$C306="Error"),"?????",IF(LEN(G306)=4,"",IF(LEN(G306)=3,"",IF(LEN(G306)=2,"",IF(LEN(G306)=1,"",""))))&amp;'Web Links'!G306)</f>
        <v>?????</v>
      </c>
      <c r="R306" s="20" t="str">
        <f>IF(OR(LEFT('Web Links'!$C306,2)="In",$C306="Error"),"???????????????",""&amp;F306)</f>
        <v>???????????????</v>
      </c>
    </row>
    <row r="307" spans="1:18" x14ac:dyDescent="0.2">
      <c r="A307" s="20">
        <f>IF('GL Template'!B321&lt;&gt;"",'GL Template'!B321,0)</f>
        <v>0</v>
      </c>
      <c r="B307" s="20">
        <f>IF('GL Template'!D321&lt;&gt;"",'GL Template'!D321,0)</f>
        <v>0</v>
      </c>
      <c r="C307" s="20" t="s">
        <v>95</v>
      </c>
      <c r="N307" s="20" t="str">
        <f>IF(OR(LEFT('Web Links'!$C307,2)="In",$C307="Error"),"?????",""&amp;C307)</f>
        <v>?????</v>
      </c>
      <c r="O307" s="20" t="str">
        <f>IF(OR(LEFT('Web Links'!$C307,2)="In",$C307="Error"),"??????????",""&amp;D307)</f>
        <v>??????????</v>
      </c>
      <c r="P307" s="20" t="str">
        <f>IF(OR(LEFT('Web Links'!$C307,2)="In",$C307="Error"),"???",IF(LEN(E307)=2,"0",IF(LEN(E307)=1,"00","")))&amp;'Web Links'!E307</f>
        <v>???</v>
      </c>
      <c r="Q307" s="20" t="str">
        <f>IF(OR(LEFT('Web Links'!$C307,2)="In",$C307="Error"),"?????",IF(LEN(G307)=4,"",IF(LEN(G307)=3,"",IF(LEN(G307)=2,"",IF(LEN(G307)=1,"",""))))&amp;'Web Links'!G307)</f>
        <v>?????</v>
      </c>
      <c r="R307" s="20" t="str">
        <f>IF(OR(LEFT('Web Links'!$C307,2)="In",$C307="Error"),"???????????????",""&amp;F307)</f>
        <v>???????????????</v>
      </c>
    </row>
    <row r="308" spans="1:18" x14ac:dyDescent="0.2">
      <c r="A308" s="20">
        <f>IF('GL Template'!B322&lt;&gt;"",'GL Template'!B322,0)</f>
        <v>0</v>
      </c>
      <c r="B308" s="20">
        <f>IF('GL Template'!D322&lt;&gt;"",'GL Template'!D322,0)</f>
        <v>0</v>
      </c>
      <c r="C308" s="20" t="s">
        <v>95</v>
      </c>
      <c r="N308" s="20" t="str">
        <f>IF(OR(LEFT('Web Links'!$C308,2)="In",$C308="Error"),"?????",""&amp;C308)</f>
        <v>?????</v>
      </c>
      <c r="O308" s="20" t="str">
        <f>IF(OR(LEFT('Web Links'!$C308,2)="In",$C308="Error"),"??????????",""&amp;D308)</f>
        <v>??????????</v>
      </c>
      <c r="P308" s="20" t="str">
        <f>IF(OR(LEFT('Web Links'!$C308,2)="In",$C308="Error"),"???",IF(LEN(E308)=2,"0",IF(LEN(E308)=1,"00","")))&amp;'Web Links'!E308</f>
        <v>???</v>
      </c>
      <c r="Q308" s="20" t="str">
        <f>IF(OR(LEFT('Web Links'!$C308,2)="In",$C308="Error"),"?????",IF(LEN(G308)=4,"",IF(LEN(G308)=3,"",IF(LEN(G308)=2,"",IF(LEN(G308)=1,"",""))))&amp;'Web Links'!G308)</f>
        <v>?????</v>
      </c>
      <c r="R308" s="20" t="str">
        <f>IF(OR(LEFT('Web Links'!$C308,2)="In",$C308="Error"),"???????????????",""&amp;F308)</f>
        <v>???????????????</v>
      </c>
    </row>
    <row r="309" spans="1:18" x14ac:dyDescent="0.2">
      <c r="A309" s="20">
        <f>IF('GL Template'!B323&lt;&gt;"",'GL Template'!B323,0)</f>
        <v>0</v>
      </c>
      <c r="B309" s="20">
        <f>IF('GL Template'!D323&lt;&gt;"",'GL Template'!D323,0)</f>
        <v>0</v>
      </c>
      <c r="C309" s="20" t="s">
        <v>95</v>
      </c>
      <c r="N309" s="20" t="str">
        <f>IF(OR(LEFT('Web Links'!$C309,2)="In",$C309="Error"),"?????",""&amp;C309)</f>
        <v>?????</v>
      </c>
      <c r="O309" s="20" t="str">
        <f>IF(OR(LEFT('Web Links'!$C309,2)="In",$C309="Error"),"??????????",""&amp;D309)</f>
        <v>??????????</v>
      </c>
      <c r="P309" s="20" t="str">
        <f>IF(OR(LEFT('Web Links'!$C309,2)="In",$C309="Error"),"???",IF(LEN(E309)=2,"0",IF(LEN(E309)=1,"00","")))&amp;'Web Links'!E309</f>
        <v>???</v>
      </c>
      <c r="Q309" s="20" t="str">
        <f>IF(OR(LEFT('Web Links'!$C309,2)="In",$C309="Error"),"?????",IF(LEN(G309)=4,"",IF(LEN(G309)=3,"",IF(LEN(G309)=2,"",IF(LEN(G309)=1,"",""))))&amp;'Web Links'!G309)</f>
        <v>?????</v>
      </c>
      <c r="R309" s="20" t="str">
        <f>IF(OR(LEFT('Web Links'!$C309,2)="In",$C309="Error"),"???????????????",""&amp;F309)</f>
        <v>???????????????</v>
      </c>
    </row>
    <row r="310" spans="1:18" x14ac:dyDescent="0.2">
      <c r="A310" s="20">
        <f>IF('GL Template'!B324&lt;&gt;"",'GL Template'!B324,0)</f>
        <v>0</v>
      </c>
      <c r="B310" s="20">
        <f>IF('GL Template'!D324&lt;&gt;"",'GL Template'!D324,0)</f>
        <v>0</v>
      </c>
      <c r="C310" s="20" t="s">
        <v>95</v>
      </c>
      <c r="N310" s="20" t="str">
        <f>IF(OR(LEFT('Web Links'!$C310,2)="In",$C310="Error"),"?????",""&amp;C310)</f>
        <v>?????</v>
      </c>
      <c r="O310" s="20" t="str">
        <f>IF(OR(LEFT('Web Links'!$C310,2)="In",$C310="Error"),"??????????",""&amp;D310)</f>
        <v>??????????</v>
      </c>
      <c r="P310" s="20" t="str">
        <f>IF(OR(LEFT('Web Links'!$C310,2)="In",$C310="Error"),"???",IF(LEN(E310)=2,"0",IF(LEN(E310)=1,"00","")))&amp;'Web Links'!E310</f>
        <v>???</v>
      </c>
      <c r="Q310" s="20" t="str">
        <f>IF(OR(LEFT('Web Links'!$C310,2)="In",$C310="Error"),"?????",IF(LEN(G310)=4,"",IF(LEN(G310)=3,"",IF(LEN(G310)=2,"",IF(LEN(G310)=1,"",""))))&amp;'Web Links'!G310)</f>
        <v>?????</v>
      </c>
      <c r="R310" s="20" t="str">
        <f>IF(OR(LEFT('Web Links'!$C310,2)="In",$C310="Error"),"???????????????",""&amp;F310)</f>
        <v>???????????????</v>
      </c>
    </row>
    <row r="311" spans="1:18" x14ac:dyDescent="0.2">
      <c r="A311" s="20">
        <f>IF('GL Template'!B325&lt;&gt;"",'GL Template'!B325,0)</f>
        <v>0</v>
      </c>
      <c r="B311" s="20">
        <f>IF('GL Template'!D325&lt;&gt;"",'GL Template'!D325,0)</f>
        <v>0</v>
      </c>
      <c r="C311" s="20" t="s">
        <v>95</v>
      </c>
      <c r="N311" s="20" t="str">
        <f>IF(OR(LEFT('Web Links'!$C311,2)="In",$C311="Error"),"?????",""&amp;C311)</f>
        <v>?????</v>
      </c>
      <c r="O311" s="20" t="str">
        <f>IF(OR(LEFT('Web Links'!$C311,2)="In",$C311="Error"),"??????????",""&amp;D311)</f>
        <v>??????????</v>
      </c>
      <c r="P311" s="20" t="str">
        <f>IF(OR(LEFT('Web Links'!$C311,2)="In",$C311="Error"),"???",IF(LEN(E311)=2,"0",IF(LEN(E311)=1,"00","")))&amp;'Web Links'!E311</f>
        <v>???</v>
      </c>
      <c r="Q311" s="20" t="str">
        <f>IF(OR(LEFT('Web Links'!$C311,2)="In",$C311="Error"),"?????",IF(LEN(G311)=4,"",IF(LEN(G311)=3,"",IF(LEN(G311)=2,"",IF(LEN(G311)=1,"",""))))&amp;'Web Links'!G311)</f>
        <v>?????</v>
      </c>
      <c r="R311" s="20" t="str">
        <f>IF(OR(LEFT('Web Links'!$C311,2)="In",$C311="Error"),"???????????????",""&amp;F311)</f>
        <v>???????????????</v>
      </c>
    </row>
    <row r="312" spans="1:18" x14ac:dyDescent="0.2">
      <c r="A312" s="20">
        <f>IF('GL Template'!B326&lt;&gt;"",'GL Template'!B326,0)</f>
        <v>0</v>
      </c>
      <c r="B312" s="20">
        <f>IF('GL Template'!D326&lt;&gt;"",'GL Template'!D326,0)</f>
        <v>0</v>
      </c>
      <c r="C312" s="20" t="s">
        <v>95</v>
      </c>
      <c r="N312" s="20" t="str">
        <f>IF(OR(LEFT('Web Links'!$C312,2)="In",$C312="Error"),"?????",""&amp;C312)</f>
        <v>?????</v>
      </c>
      <c r="O312" s="20" t="str">
        <f>IF(OR(LEFT('Web Links'!$C312,2)="In",$C312="Error"),"??????????",""&amp;D312)</f>
        <v>??????????</v>
      </c>
      <c r="P312" s="20" t="str">
        <f>IF(OR(LEFT('Web Links'!$C312,2)="In",$C312="Error"),"???",IF(LEN(E312)=2,"0",IF(LEN(E312)=1,"00","")))&amp;'Web Links'!E312</f>
        <v>???</v>
      </c>
      <c r="Q312" s="20" t="str">
        <f>IF(OR(LEFT('Web Links'!$C312,2)="In",$C312="Error"),"?????",IF(LEN(G312)=4,"",IF(LEN(G312)=3,"",IF(LEN(G312)=2,"",IF(LEN(G312)=1,"",""))))&amp;'Web Links'!G312)</f>
        <v>?????</v>
      </c>
      <c r="R312" s="20" t="str">
        <f>IF(OR(LEFT('Web Links'!$C312,2)="In",$C312="Error"),"???????????????",""&amp;F312)</f>
        <v>???????????????</v>
      </c>
    </row>
    <row r="313" spans="1:18" x14ac:dyDescent="0.2">
      <c r="A313" s="20">
        <f>IF('GL Template'!B327&lt;&gt;"",'GL Template'!B327,0)</f>
        <v>0</v>
      </c>
      <c r="B313" s="20">
        <f>IF('GL Template'!D327&lt;&gt;"",'GL Template'!D327,0)</f>
        <v>0</v>
      </c>
      <c r="C313" s="20" t="s">
        <v>95</v>
      </c>
      <c r="N313" s="20" t="str">
        <f>IF(OR(LEFT('Web Links'!$C313,2)="In",$C313="Error"),"?????",""&amp;C313)</f>
        <v>?????</v>
      </c>
      <c r="O313" s="20" t="str">
        <f>IF(OR(LEFT('Web Links'!$C313,2)="In",$C313="Error"),"??????????",""&amp;D313)</f>
        <v>??????????</v>
      </c>
      <c r="P313" s="20" t="str">
        <f>IF(OR(LEFT('Web Links'!$C313,2)="In",$C313="Error"),"???",IF(LEN(E313)=2,"0",IF(LEN(E313)=1,"00","")))&amp;'Web Links'!E313</f>
        <v>???</v>
      </c>
      <c r="Q313" s="20" t="str">
        <f>IF(OR(LEFT('Web Links'!$C313,2)="In",$C313="Error"),"?????",IF(LEN(G313)=4,"",IF(LEN(G313)=3,"",IF(LEN(G313)=2,"",IF(LEN(G313)=1,"",""))))&amp;'Web Links'!G313)</f>
        <v>?????</v>
      </c>
      <c r="R313" s="20" t="str">
        <f>IF(OR(LEFT('Web Links'!$C313,2)="In",$C313="Error"),"???????????????",""&amp;F313)</f>
        <v>???????????????</v>
      </c>
    </row>
    <row r="314" spans="1:18" x14ac:dyDescent="0.2">
      <c r="A314" s="20">
        <f>IF('GL Template'!B328&lt;&gt;"",'GL Template'!B328,0)</f>
        <v>0</v>
      </c>
      <c r="B314" s="20">
        <f>IF('GL Template'!D328&lt;&gt;"",'GL Template'!D328,0)</f>
        <v>0</v>
      </c>
      <c r="C314" s="20" t="s">
        <v>95</v>
      </c>
      <c r="N314" s="20" t="str">
        <f>IF(OR(LEFT('Web Links'!$C314,2)="In",$C314="Error"),"?????",""&amp;C314)</f>
        <v>?????</v>
      </c>
      <c r="O314" s="20" t="str">
        <f>IF(OR(LEFT('Web Links'!$C314,2)="In",$C314="Error"),"??????????",""&amp;D314)</f>
        <v>??????????</v>
      </c>
      <c r="P314" s="20" t="str">
        <f>IF(OR(LEFT('Web Links'!$C314,2)="In",$C314="Error"),"???",IF(LEN(E314)=2,"0",IF(LEN(E314)=1,"00","")))&amp;'Web Links'!E314</f>
        <v>???</v>
      </c>
      <c r="Q314" s="20" t="str">
        <f>IF(OR(LEFT('Web Links'!$C314,2)="In",$C314="Error"),"?????",IF(LEN(G314)=4,"",IF(LEN(G314)=3,"",IF(LEN(G314)=2,"",IF(LEN(G314)=1,"",""))))&amp;'Web Links'!G314)</f>
        <v>?????</v>
      </c>
      <c r="R314" s="20" t="str">
        <f>IF(OR(LEFT('Web Links'!$C314,2)="In",$C314="Error"),"???????????????",""&amp;F314)</f>
        <v>???????????????</v>
      </c>
    </row>
    <row r="315" spans="1:18" x14ac:dyDescent="0.2">
      <c r="A315" s="20">
        <f>IF('GL Template'!B329&lt;&gt;"",'GL Template'!B329,0)</f>
        <v>0</v>
      </c>
      <c r="B315" s="20">
        <f>IF('GL Template'!D329&lt;&gt;"",'GL Template'!D329,0)</f>
        <v>0</v>
      </c>
      <c r="C315" s="20" t="s">
        <v>95</v>
      </c>
      <c r="N315" s="20" t="str">
        <f>IF(OR(LEFT('Web Links'!$C315,2)="In",$C315="Error"),"?????",""&amp;C315)</f>
        <v>?????</v>
      </c>
      <c r="O315" s="20" t="str">
        <f>IF(OR(LEFT('Web Links'!$C315,2)="In",$C315="Error"),"??????????",""&amp;D315)</f>
        <v>??????????</v>
      </c>
      <c r="P315" s="20" t="str">
        <f>IF(OR(LEFT('Web Links'!$C315,2)="In",$C315="Error"),"???",IF(LEN(E315)=2,"0",IF(LEN(E315)=1,"00","")))&amp;'Web Links'!E315</f>
        <v>???</v>
      </c>
      <c r="Q315" s="20" t="str">
        <f>IF(OR(LEFT('Web Links'!$C315,2)="In",$C315="Error"),"?????",IF(LEN(G315)=4,"",IF(LEN(G315)=3,"",IF(LEN(G315)=2,"",IF(LEN(G315)=1,"",""))))&amp;'Web Links'!G315)</f>
        <v>?????</v>
      </c>
      <c r="R315" s="20" t="str">
        <f>IF(OR(LEFT('Web Links'!$C315,2)="In",$C315="Error"),"???????????????",""&amp;F315)</f>
        <v>???????????????</v>
      </c>
    </row>
    <row r="316" spans="1:18" x14ac:dyDescent="0.2">
      <c r="A316" s="20">
        <f>IF('GL Template'!B330&lt;&gt;"",'GL Template'!B330,0)</f>
        <v>0</v>
      </c>
      <c r="B316" s="20">
        <f>IF('GL Template'!D330&lt;&gt;"",'GL Template'!D330,0)</f>
        <v>0</v>
      </c>
      <c r="C316" s="20" t="s">
        <v>95</v>
      </c>
      <c r="N316" s="20" t="str">
        <f>IF(OR(LEFT('Web Links'!$C316,2)="In",$C316="Error"),"?????",""&amp;C316)</f>
        <v>?????</v>
      </c>
      <c r="O316" s="20" t="str">
        <f>IF(OR(LEFT('Web Links'!$C316,2)="In",$C316="Error"),"??????????",""&amp;D316)</f>
        <v>??????????</v>
      </c>
      <c r="P316" s="20" t="str">
        <f>IF(OR(LEFT('Web Links'!$C316,2)="In",$C316="Error"),"???",IF(LEN(E316)=2,"0",IF(LEN(E316)=1,"00","")))&amp;'Web Links'!E316</f>
        <v>???</v>
      </c>
      <c r="Q316" s="20" t="str">
        <f>IF(OR(LEFT('Web Links'!$C316,2)="In",$C316="Error"),"?????",IF(LEN(G316)=4,"",IF(LEN(G316)=3,"",IF(LEN(G316)=2,"",IF(LEN(G316)=1,"",""))))&amp;'Web Links'!G316)</f>
        <v>?????</v>
      </c>
      <c r="R316" s="20" t="str">
        <f>IF(OR(LEFT('Web Links'!$C316,2)="In",$C316="Error"),"???????????????",""&amp;F316)</f>
        <v>???????????????</v>
      </c>
    </row>
    <row r="317" spans="1:18" x14ac:dyDescent="0.2">
      <c r="A317" s="20">
        <f>IF('GL Template'!B331&lt;&gt;"",'GL Template'!B331,0)</f>
        <v>0</v>
      </c>
      <c r="B317" s="20">
        <f>IF('GL Template'!D331&lt;&gt;"",'GL Template'!D331,0)</f>
        <v>0</v>
      </c>
      <c r="C317" s="20" t="s">
        <v>95</v>
      </c>
      <c r="N317" s="20" t="str">
        <f>IF(OR(LEFT('Web Links'!$C317,2)="In",$C317="Error"),"?????",""&amp;C317)</f>
        <v>?????</v>
      </c>
      <c r="O317" s="20" t="str">
        <f>IF(OR(LEFT('Web Links'!$C317,2)="In",$C317="Error"),"??????????",""&amp;D317)</f>
        <v>??????????</v>
      </c>
      <c r="P317" s="20" t="str">
        <f>IF(OR(LEFT('Web Links'!$C317,2)="In",$C317="Error"),"???",IF(LEN(E317)=2,"0",IF(LEN(E317)=1,"00","")))&amp;'Web Links'!E317</f>
        <v>???</v>
      </c>
      <c r="Q317" s="20" t="str">
        <f>IF(OR(LEFT('Web Links'!$C317,2)="In",$C317="Error"),"?????",IF(LEN(G317)=4,"",IF(LEN(G317)=3,"",IF(LEN(G317)=2,"",IF(LEN(G317)=1,"",""))))&amp;'Web Links'!G317)</f>
        <v>?????</v>
      </c>
      <c r="R317" s="20" t="str">
        <f>IF(OR(LEFT('Web Links'!$C317,2)="In",$C317="Error"),"???????????????",""&amp;F317)</f>
        <v>???????????????</v>
      </c>
    </row>
    <row r="318" spans="1:18" x14ac:dyDescent="0.2">
      <c r="A318" s="20">
        <f>IF('GL Template'!B332&lt;&gt;"",'GL Template'!B332,0)</f>
        <v>0</v>
      </c>
      <c r="B318" s="20">
        <f>IF('GL Template'!D332&lt;&gt;"",'GL Template'!D332,0)</f>
        <v>0</v>
      </c>
      <c r="C318" s="20" t="s">
        <v>95</v>
      </c>
      <c r="N318" s="20" t="str">
        <f>IF(OR(LEFT('Web Links'!$C318,2)="In",$C318="Error"),"?????",""&amp;C318)</f>
        <v>?????</v>
      </c>
      <c r="O318" s="20" t="str">
        <f>IF(OR(LEFT('Web Links'!$C318,2)="In",$C318="Error"),"??????????",""&amp;D318)</f>
        <v>??????????</v>
      </c>
      <c r="P318" s="20" t="str">
        <f>IF(OR(LEFT('Web Links'!$C318,2)="In",$C318="Error"),"???",IF(LEN(E318)=2,"0",IF(LEN(E318)=1,"00","")))&amp;'Web Links'!E318</f>
        <v>???</v>
      </c>
      <c r="Q318" s="20" t="str">
        <f>IF(OR(LEFT('Web Links'!$C318,2)="In",$C318="Error"),"?????",IF(LEN(G318)=4,"",IF(LEN(G318)=3,"",IF(LEN(G318)=2,"",IF(LEN(G318)=1,"",""))))&amp;'Web Links'!G318)</f>
        <v>?????</v>
      </c>
      <c r="R318" s="20" t="str">
        <f>IF(OR(LEFT('Web Links'!$C318,2)="In",$C318="Error"),"???????????????",""&amp;F318)</f>
        <v>???????????????</v>
      </c>
    </row>
    <row r="319" spans="1:18" x14ac:dyDescent="0.2">
      <c r="A319" s="20">
        <f>IF('GL Template'!B333&lt;&gt;"",'GL Template'!B333,0)</f>
        <v>0</v>
      </c>
      <c r="B319" s="20">
        <f>IF('GL Template'!D333&lt;&gt;"",'GL Template'!D333,0)</f>
        <v>0</v>
      </c>
      <c r="C319" s="20" t="s">
        <v>95</v>
      </c>
      <c r="N319" s="20" t="str">
        <f>IF(OR(LEFT('Web Links'!$C319,2)="In",$C319="Error"),"?????",""&amp;C319)</f>
        <v>?????</v>
      </c>
      <c r="O319" s="20" t="str">
        <f>IF(OR(LEFT('Web Links'!$C319,2)="In",$C319="Error"),"??????????",""&amp;D319)</f>
        <v>??????????</v>
      </c>
      <c r="P319" s="20" t="str">
        <f>IF(OR(LEFT('Web Links'!$C319,2)="In",$C319="Error"),"???",IF(LEN(E319)=2,"0",IF(LEN(E319)=1,"00","")))&amp;'Web Links'!E319</f>
        <v>???</v>
      </c>
      <c r="Q319" s="20" t="str">
        <f>IF(OR(LEFT('Web Links'!$C319,2)="In",$C319="Error"),"?????",IF(LEN(G319)=4,"",IF(LEN(G319)=3,"",IF(LEN(G319)=2,"",IF(LEN(G319)=1,"",""))))&amp;'Web Links'!G319)</f>
        <v>?????</v>
      </c>
      <c r="R319" s="20" t="str">
        <f>IF(OR(LEFT('Web Links'!$C319,2)="In",$C319="Error"),"???????????????",""&amp;F319)</f>
        <v>???????????????</v>
      </c>
    </row>
    <row r="320" spans="1:18" x14ac:dyDescent="0.2">
      <c r="A320" s="20">
        <f>IF('GL Template'!B334&lt;&gt;"",'GL Template'!B334,0)</f>
        <v>0</v>
      </c>
      <c r="B320" s="20">
        <f>IF('GL Template'!D334&lt;&gt;"",'GL Template'!D334,0)</f>
        <v>0</v>
      </c>
      <c r="C320" s="20" t="s">
        <v>95</v>
      </c>
      <c r="N320" s="20" t="str">
        <f>IF(OR(LEFT('Web Links'!$C320,2)="In",$C320="Error"),"?????",""&amp;C320)</f>
        <v>?????</v>
      </c>
      <c r="O320" s="20" t="str">
        <f>IF(OR(LEFT('Web Links'!$C320,2)="In",$C320="Error"),"??????????",""&amp;D320)</f>
        <v>??????????</v>
      </c>
      <c r="P320" s="20" t="str">
        <f>IF(OR(LEFT('Web Links'!$C320,2)="In",$C320="Error"),"???",IF(LEN(E320)=2,"0",IF(LEN(E320)=1,"00","")))&amp;'Web Links'!E320</f>
        <v>???</v>
      </c>
      <c r="Q320" s="20" t="str">
        <f>IF(OR(LEFT('Web Links'!$C320,2)="In",$C320="Error"),"?????",IF(LEN(G320)=4,"",IF(LEN(G320)=3,"",IF(LEN(G320)=2,"",IF(LEN(G320)=1,"",""))))&amp;'Web Links'!G320)</f>
        <v>?????</v>
      </c>
      <c r="R320" s="20" t="str">
        <f>IF(OR(LEFT('Web Links'!$C320,2)="In",$C320="Error"),"???????????????",""&amp;F320)</f>
        <v>???????????????</v>
      </c>
    </row>
    <row r="321" spans="1:18" x14ac:dyDescent="0.2">
      <c r="A321" s="20">
        <f>IF('GL Template'!B335&lt;&gt;"",'GL Template'!B335,0)</f>
        <v>0</v>
      </c>
      <c r="B321" s="20">
        <f>IF('GL Template'!D335&lt;&gt;"",'GL Template'!D335,0)</f>
        <v>0</v>
      </c>
      <c r="C321" s="20" t="s">
        <v>95</v>
      </c>
      <c r="N321" s="20" t="str">
        <f>IF(OR(LEFT('Web Links'!$C321,2)="In",$C321="Error"),"?????",""&amp;C321)</f>
        <v>?????</v>
      </c>
      <c r="O321" s="20" t="str">
        <f>IF(OR(LEFT('Web Links'!$C321,2)="In",$C321="Error"),"??????????",""&amp;D321)</f>
        <v>??????????</v>
      </c>
      <c r="P321" s="20" t="str">
        <f>IF(OR(LEFT('Web Links'!$C321,2)="In",$C321="Error"),"???",IF(LEN(E321)=2,"0",IF(LEN(E321)=1,"00","")))&amp;'Web Links'!E321</f>
        <v>???</v>
      </c>
      <c r="Q321" s="20" t="str">
        <f>IF(OR(LEFT('Web Links'!$C321,2)="In",$C321="Error"),"?????",IF(LEN(G321)=4,"",IF(LEN(G321)=3,"",IF(LEN(G321)=2,"",IF(LEN(G321)=1,"",""))))&amp;'Web Links'!G321)</f>
        <v>?????</v>
      </c>
      <c r="R321" s="20" t="str">
        <f>IF(OR(LEFT('Web Links'!$C321,2)="In",$C321="Error"),"???????????????",""&amp;F321)</f>
        <v>???????????????</v>
      </c>
    </row>
    <row r="322" spans="1:18" x14ac:dyDescent="0.2">
      <c r="A322" s="20">
        <f>IF('GL Template'!B336&lt;&gt;"",'GL Template'!B336,0)</f>
        <v>0</v>
      </c>
      <c r="B322" s="20">
        <f>IF('GL Template'!D336&lt;&gt;"",'GL Template'!D336,0)</f>
        <v>0</v>
      </c>
      <c r="C322" s="20" t="s">
        <v>95</v>
      </c>
      <c r="N322" s="20" t="str">
        <f>IF(OR(LEFT('Web Links'!$C322,2)="In",$C322="Error"),"?????",""&amp;C322)</f>
        <v>?????</v>
      </c>
      <c r="O322" s="20" t="str">
        <f>IF(OR(LEFT('Web Links'!$C322,2)="In",$C322="Error"),"??????????",""&amp;D322)</f>
        <v>??????????</v>
      </c>
      <c r="P322" s="20" t="str">
        <f>IF(OR(LEFT('Web Links'!$C322,2)="In",$C322="Error"),"???",IF(LEN(E322)=2,"0",IF(LEN(E322)=1,"00","")))&amp;'Web Links'!E322</f>
        <v>???</v>
      </c>
      <c r="Q322" s="20" t="str">
        <f>IF(OR(LEFT('Web Links'!$C322,2)="In",$C322="Error"),"?????",IF(LEN(G322)=4,"",IF(LEN(G322)=3,"",IF(LEN(G322)=2,"",IF(LEN(G322)=1,"",""))))&amp;'Web Links'!G322)</f>
        <v>?????</v>
      </c>
      <c r="R322" s="20" t="str">
        <f>IF(OR(LEFT('Web Links'!$C322,2)="In",$C322="Error"),"???????????????",""&amp;F322)</f>
        <v>???????????????</v>
      </c>
    </row>
    <row r="323" spans="1:18" x14ac:dyDescent="0.2">
      <c r="A323" s="20">
        <f>IF('GL Template'!B337&lt;&gt;"",'GL Template'!B337,0)</f>
        <v>0</v>
      </c>
      <c r="B323" s="20">
        <f>IF('GL Template'!D337&lt;&gt;"",'GL Template'!D337,0)</f>
        <v>0</v>
      </c>
      <c r="C323" s="20" t="s">
        <v>95</v>
      </c>
      <c r="N323" s="20" t="str">
        <f>IF(OR(LEFT('Web Links'!$C323,2)="In",$C323="Error"),"?????",""&amp;C323)</f>
        <v>?????</v>
      </c>
      <c r="O323" s="20" t="str">
        <f>IF(OR(LEFT('Web Links'!$C323,2)="In",$C323="Error"),"??????????",""&amp;D323)</f>
        <v>??????????</v>
      </c>
      <c r="P323" s="20" t="str">
        <f>IF(OR(LEFT('Web Links'!$C323,2)="In",$C323="Error"),"???",IF(LEN(E323)=2,"0",IF(LEN(E323)=1,"00","")))&amp;'Web Links'!E323</f>
        <v>???</v>
      </c>
      <c r="Q323" s="20" t="str">
        <f>IF(OR(LEFT('Web Links'!$C323,2)="In",$C323="Error"),"?????",IF(LEN(G323)=4,"",IF(LEN(G323)=3,"",IF(LEN(G323)=2,"",IF(LEN(G323)=1,"",""))))&amp;'Web Links'!G323)</f>
        <v>?????</v>
      </c>
      <c r="R323" s="20" t="str">
        <f>IF(OR(LEFT('Web Links'!$C323,2)="In",$C323="Error"),"???????????????",""&amp;F323)</f>
        <v>???????????????</v>
      </c>
    </row>
    <row r="324" spans="1:18" x14ac:dyDescent="0.2">
      <c r="A324" s="20">
        <f>IF('GL Template'!B338&lt;&gt;"",'GL Template'!B338,0)</f>
        <v>0</v>
      </c>
      <c r="B324" s="20">
        <f>IF('GL Template'!D338&lt;&gt;"",'GL Template'!D338,0)</f>
        <v>0</v>
      </c>
      <c r="C324" s="20" t="s">
        <v>95</v>
      </c>
      <c r="N324" s="20" t="str">
        <f>IF(OR(LEFT('Web Links'!$C324,2)="In",$C324="Error"),"?????",""&amp;C324)</f>
        <v>?????</v>
      </c>
      <c r="O324" s="20" t="str">
        <f>IF(OR(LEFT('Web Links'!$C324,2)="In",$C324="Error"),"??????????",""&amp;D324)</f>
        <v>??????????</v>
      </c>
      <c r="P324" s="20" t="str">
        <f>IF(OR(LEFT('Web Links'!$C324,2)="In",$C324="Error"),"???",IF(LEN(E324)=2,"0",IF(LEN(E324)=1,"00","")))&amp;'Web Links'!E324</f>
        <v>???</v>
      </c>
      <c r="Q324" s="20" t="str">
        <f>IF(OR(LEFT('Web Links'!$C324,2)="In",$C324="Error"),"?????",IF(LEN(G324)=4,"",IF(LEN(G324)=3,"",IF(LEN(G324)=2,"",IF(LEN(G324)=1,"",""))))&amp;'Web Links'!G324)</f>
        <v>?????</v>
      </c>
      <c r="R324" s="20" t="str">
        <f>IF(OR(LEFT('Web Links'!$C324,2)="In",$C324="Error"),"???????????????",""&amp;F324)</f>
        <v>???????????????</v>
      </c>
    </row>
    <row r="325" spans="1:18" x14ac:dyDescent="0.2">
      <c r="A325" s="20">
        <f>IF('GL Template'!B339&lt;&gt;"",'GL Template'!B339,0)</f>
        <v>0</v>
      </c>
      <c r="B325" s="20">
        <f>IF('GL Template'!D339&lt;&gt;"",'GL Template'!D339,0)</f>
        <v>0</v>
      </c>
      <c r="C325" s="20" t="s">
        <v>95</v>
      </c>
      <c r="N325" s="20" t="str">
        <f>IF(OR(LEFT('Web Links'!$C325,2)="In",$C325="Error"),"?????",""&amp;C325)</f>
        <v>?????</v>
      </c>
      <c r="O325" s="20" t="str">
        <f>IF(OR(LEFT('Web Links'!$C325,2)="In",$C325="Error"),"??????????",""&amp;D325)</f>
        <v>??????????</v>
      </c>
      <c r="P325" s="20" t="str">
        <f>IF(OR(LEFT('Web Links'!$C325,2)="In",$C325="Error"),"???",IF(LEN(E325)=2,"0",IF(LEN(E325)=1,"00","")))&amp;'Web Links'!E325</f>
        <v>???</v>
      </c>
      <c r="Q325" s="20" t="str">
        <f>IF(OR(LEFT('Web Links'!$C325,2)="In",$C325="Error"),"?????",IF(LEN(G325)=4,"",IF(LEN(G325)=3,"",IF(LEN(G325)=2,"",IF(LEN(G325)=1,"",""))))&amp;'Web Links'!G325)</f>
        <v>?????</v>
      </c>
      <c r="R325" s="20" t="str">
        <f>IF(OR(LEFT('Web Links'!$C325,2)="In",$C325="Error"),"???????????????",""&amp;F325)</f>
        <v>???????????????</v>
      </c>
    </row>
    <row r="326" spans="1:18" x14ac:dyDescent="0.2">
      <c r="A326" s="20">
        <f>IF('GL Template'!B340&lt;&gt;"",'GL Template'!B340,0)</f>
        <v>0</v>
      </c>
      <c r="B326" s="20">
        <f>IF('GL Template'!D340&lt;&gt;"",'GL Template'!D340,0)</f>
        <v>0</v>
      </c>
      <c r="C326" s="20" t="s">
        <v>95</v>
      </c>
      <c r="N326" s="20" t="str">
        <f>IF(OR(LEFT('Web Links'!$C326,2)="In",$C326="Error"),"?????",""&amp;C326)</f>
        <v>?????</v>
      </c>
      <c r="O326" s="20" t="str">
        <f>IF(OR(LEFT('Web Links'!$C326,2)="In",$C326="Error"),"??????????",""&amp;D326)</f>
        <v>??????????</v>
      </c>
      <c r="P326" s="20" t="str">
        <f>IF(OR(LEFT('Web Links'!$C326,2)="In",$C326="Error"),"???",IF(LEN(E326)=2,"0",IF(LEN(E326)=1,"00","")))&amp;'Web Links'!E326</f>
        <v>???</v>
      </c>
      <c r="Q326" s="20" t="str">
        <f>IF(OR(LEFT('Web Links'!$C326,2)="In",$C326="Error"),"?????",IF(LEN(G326)=4,"",IF(LEN(G326)=3,"",IF(LEN(G326)=2,"",IF(LEN(G326)=1,"",""))))&amp;'Web Links'!G326)</f>
        <v>?????</v>
      </c>
      <c r="R326" s="20" t="str">
        <f>IF(OR(LEFT('Web Links'!$C326,2)="In",$C326="Error"),"???????????????",""&amp;F326)</f>
        <v>???????????????</v>
      </c>
    </row>
    <row r="327" spans="1:18" x14ac:dyDescent="0.2">
      <c r="A327" s="20">
        <f>IF('GL Template'!B341&lt;&gt;"",'GL Template'!B341,0)</f>
        <v>0</v>
      </c>
      <c r="B327" s="20">
        <f>IF('GL Template'!D341&lt;&gt;"",'GL Template'!D341,0)</f>
        <v>0</v>
      </c>
      <c r="C327" s="20" t="s">
        <v>95</v>
      </c>
      <c r="N327" s="20" t="str">
        <f>IF(OR(LEFT('Web Links'!$C327,2)="In",$C327="Error"),"?????",""&amp;C327)</f>
        <v>?????</v>
      </c>
      <c r="O327" s="20" t="str">
        <f>IF(OR(LEFT('Web Links'!$C327,2)="In",$C327="Error"),"??????????",""&amp;D327)</f>
        <v>??????????</v>
      </c>
      <c r="P327" s="20" t="str">
        <f>IF(OR(LEFT('Web Links'!$C327,2)="In",$C327="Error"),"???",IF(LEN(E327)=2,"0",IF(LEN(E327)=1,"00","")))&amp;'Web Links'!E327</f>
        <v>???</v>
      </c>
      <c r="Q327" s="20" t="str">
        <f>IF(OR(LEFT('Web Links'!$C327,2)="In",$C327="Error"),"?????",IF(LEN(G327)=4,"",IF(LEN(G327)=3,"",IF(LEN(G327)=2,"",IF(LEN(G327)=1,"",""))))&amp;'Web Links'!G327)</f>
        <v>?????</v>
      </c>
      <c r="R327" s="20" t="str">
        <f>IF(OR(LEFT('Web Links'!$C327,2)="In",$C327="Error"),"???????????????",""&amp;F327)</f>
        <v>???????????????</v>
      </c>
    </row>
    <row r="328" spans="1:18" x14ac:dyDescent="0.2">
      <c r="A328" s="20">
        <f>IF('GL Template'!B342&lt;&gt;"",'GL Template'!B342,0)</f>
        <v>0</v>
      </c>
      <c r="B328" s="20">
        <f>IF('GL Template'!D342&lt;&gt;"",'GL Template'!D342,0)</f>
        <v>0</v>
      </c>
      <c r="C328" s="20" t="s">
        <v>95</v>
      </c>
      <c r="N328" s="20" t="str">
        <f>IF(OR(LEFT('Web Links'!$C328,2)="In",$C328="Error"),"?????",""&amp;C328)</f>
        <v>?????</v>
      </c>
      <c r="O328" s="20" t="str">
        <f>IF(OR(LEFT('Web Links'!$C328,2)="In",$C328="Error"),"??????????",""&amp;D328)</f>
        <v>??????????</v>
      </c>
      <c r="P328" s="20" t="str">
        <f>IF(OR(LEFT('Web Links'!$C328,2)="In",$C328="Error"),"???",IF(LEN(E328)=2,"0",IF(LEN(E328)=1,"00","")))&amp;'Web Links'!E328</f>
        <v>???</v>
      </c>
      <c r="Q328" s="20" t="str">
        <f>IF(OR(LEFT('Web Links'!$C328,2)="In",$C328="Error"),"?????",IF(LEN(G328)=4,"",IF(LEN(G328)=3,"",IF(LEN(G328)=2,"",IF(LEN(G328)=1,"",""))))&amp;'Web Links'!G328)</f>
        <v>?????</v>
      </c>
      <c r="R328" s="20" t="str">
        <f>IF(OR(LEFT('Web Links'!$C328,2)="In",$C328="Error"),"???????????????",""&amp;F328)</f>
        <v>???????????????</v>
      </c>
    </row>
    <row r="329" spans="1:18" x14ac:dyDescent="0.2">
      <c r="A329" s="20">
        <f>IF('GL Template'!B343&lt;&gt;"",'GL Template'!B343,0)</f>
        <v>0</v>
      </c>
      <c r="B329" s="20">
        <f>IF('GL Template'!D343&lt;&gt;"",'GL Template'!D343,0)</f>
        <v>0</v>
      </c>
      <c r="C329" s="20" t="s">
        <v>95</v>
      </c>
      <c r="N329" s="20" t="str">
        <f>IF(OR(LEFT('Web Links'!$C329,2)="In",$C329="Error"),"?????",""&amp;C329)</f>
        <v>?????</v>
      </c>
      <c r="O329" s="20" t="str">
        <f>IF(OR(LEFT('Web Links'!$C329,2)="In",$C329="Error"),"??????????",""&amp;D329)</f>
        <v>??????????</v>
      </c>
      <c r="P329" s="20" t="str">
        <f>IF(OR(LEFT('Web Links'!$C329,2)="In",$C329="Error"),"???",IF(LEN(E329)=2,"0",IF(LEN(E329)=1,"00","")))&amp;'Web Links'!E329</f>
        <v>???</v>
      </c>
      <c r="Q329" s="20" t="str">
        <f>IF(OR(LEFT('Web Links'!$C329,2)="In",$C329="Error"),"?????",IF(LEN(G329)=4,"",IF(LEN(G329)=3,"",IF(LEN(G329)=2,"",IF(LEN(G329)=1,"",""))))&amp;'Web Links'!G329)</f>
        <v>?????</v>
      </c>
      <c r="R329" s="20" t="str">
        <f>IF(OR(LEFT('Web Links'!$C329,2)="In",$C329="Error"),"???????????????",""&amp;F329)</f>
        <v>???????????????</v>
      </c>
    </row>
    <row r="330" spans="1:18" x14ac:dyDescent="0.2">
      <c r="A330" s="20">
        <f>IF('GL Template'!B344&lt;&gt;"",'GL Template'!B344,0)</f>
        <v>0</v>
      </c>
      <c r="B330" s="20">
        <f>IF('GL Template'!D344&lt;&gt;"",'GL Template'!D344,0)</f>
        <v>0</v>
      </c>
      <c r="C330" s="20" t="s">
        <v>95</v>
      </c>
      <c r="N330" s="20" t="str">
        <f>IF(OR(LEFT('Web Links'!$C330,2)="In",$C330="Error"),"?????",""&amp;C330)</f>
        <v>?????</v>
      </c>
      <c r="O330" s="20" t="str">
        <f>IF(OR(LEFT('Web Links'!$C330,2)="In",$C330="Error"),"??????????",""&amp;D330)</f>
        <v>??????????</v>
      </c>
      <c r="P330" s="20" t="str">
        <f>IF(OR(LEFT('Web Links'!$C330,2)="In",$C330="Error"),"???",IF(LEN(E330)=2,"0",IF(LEN(E330)=1,"00","")))&amp;'Web Links'!E330</f>
        <v>???</v>
      </c>
      <c r="Q330" s="20" t="str">
        <f>IF(OR(LEFT('Web Links'!$C330,2)="In",$C330="Error"),"?????",IF(LEN(G330)=4,"",IF(LEN(G330)=3,"",IF(LEN(G330)=2,"",IF(LEN(G330)=1,"",""))))&amp;'Web Links'!G330)</f>
        <v>?????</v>
      </c>
      <c r="R330" s="20" t="str">
        <f>IF(OR(LEFT('Web Links'!$C330,2)="In",$C330="Error"),"???????????????",""&amp;F330)</f>
        <v>???????????????</v>
      </c>
    </row>
    <row r="331" spans="1:18" x14ac:dyDescent="0.2">
      <c r="A331" s="20">
        <f>IF('GL Template'!B345&lt;&gt;"",'GL Template'!B345,0)</f>
        <v>0</v>
      </c>
      <c r="B331" s="20">
        <f>IF('GL Template'!D345&lt;&gt;"",'GL Template'!D345,0)</f>
        <v>0</v>
      </c>
      <c r="C331" s="20" t="s">
        <v>95</v>
      </c>
      <c r="N331" s="20" t="str">
        <f>IF(OR(LEFT('Web Links'!$C331,2)="In",$C331="Error"),"?????",""&amp;C331)</f>
        <v>?????</v>
      </c>
      <c r="O331" s="20" t="str">
        <f>IF(OR(LEFT('Web Links'!$C331,2)="In",$C331="Error"),"??????????",""&amp;D331)</f>
        <v>??????????</v>
      </c>
      <c r="P331" s="20" t="str">
        <f>IF(OR(LEFT('Web Links'!$C331,2)="In",$C331="Error"),"???",IF(LEN(E331)=2,"0",IF(LEN(E331)=1,"00","")))&amp;'Web Links'!E331</f>
        <v>???</v>
      </c>
      <c r="Q331" s="20" t="str">
        <f>IF(OR(LEFT('Web Links'!$C331,2)="In",$C331="Error"),"?????",IF(LEN(G331)=4,"",IF(LEN(G331)=3,"",IF(LEN(G331)=2,"",IF(LEN(G331)=1,"",""))))&amp;'Web Links'!G331)</f>
        <v>?????</v>
      </c>
      <c r="R331" s="20" t="str">
        <f>IF(OR(LEFT('Web Links'!$C331,2)="In",$C331="Error"),"???????????????",""&amp;F331)</f>
        <v>???????????????</v>
      </c>
    </row>
    <row r="332" spans="1:18" x14ac:dyDescent="0.2">
      <c r="A332" s="20">
        <f>IF('GL Template'!B346&lt;&gt;"",'GL Template'!B346,0)</f>
        <v>0</v>
      </c>
      <c r="B332" s="20">
        <f>IF('GL Template'!D346&lt;&gt;"",'GL Template'!D346,0)</f>
        <v>0</v>
      </c>
      <c r="C332" s="20" t="s">
        <v>95</v>
      </c>
      <c r="N332" s="20" t="str">
        <f>IF(OR(LEFT('Web Links'!$C332,2)="In",$C332="Error"),"?????",""&amp;C332)</f>
        <v>?????</v>
      </c>
      <c r="O332" s="20" t="str">
        <f>IF(OR(LEFT('Web Links'!$C332,2)="In",$C332="Error"),"??????????",""&amp;D332)</f>
        <v>??????????</v>
      </c>
      <c r="P332" s="20" t="str">
        <f>IF(OR(LEFT('Web Links'!$C332,2)="In",$C332="Error"),"???",IF(LEN(E332)=2,"0",IF(LEN(E332)=1,"00","")))&amp;'Web Links'!E332</f>
        <v>???</v>
      </c>
      <c r="Q332" s="20" t="str">
        <f>IF(OR(LEFT('Web Links'!$C332,2)="In",$C332="Error"),"?????",IF(LEN(G332)=4,"",IF(LEN(G332)=3,"",IF(LEN(G332)=2,"",IF(LEN(G332)=1,"",""))))&amp;'Web Links'!G332)</f>
        <v>?????</v>
      </c>
      <c r="R332" s="20" t="str">
        <f>IF(OR(LEFT('Web Links'!$C332,2)="In",$C332="Error"),"???????????????",""&amp;F332)</f>
        <v>???????????????</v>
      </c>
    </row>
    <row r="333" spans="1:18" x14ac:dyDescent="0.2">
      <c r="A333" s="20">
        <f>IF('GL Template'!B347&lt;&gt;"",'GL Template'!B347,0)</f>
        <v>0</v>
      </c>
      <c r="B333" s="20">
        <f>IF('GL Template'!D347&lt;&gt;"",'GL Template'!D347,0)</f>
        <v>0</v>
      </c>
      <c r="C333" s="20" t="s">
        <v>95</v>
      </c>
      <c r="N333" s="20" t="str">
        <f>IF(OR(LEFT('Web Links'!$C333,2)="In",$C333="Error"),"?????",""&amp;C333)</f>
        <v>?????</v>
      </c>
      <c r="O333" s="20" t="str">
        <f>IF(OR(LEFT('Web Links'!$C333,2)="In",$C333="Error"),"??????????",""&amp;D333)</f>
        <v>??????????</v>
      </c>
      <c r="P333" s="20" t="str">
        <f>IF(OR(LEFT('Web Links'!$C333,2)="In",$C333="Error"),"???",IF(LEN(E333)=2,"0",IF(LEN(E333)=1,"00","")))&amp;'Web Links'!E333</f>
        <v>???</v>
      </c>
      <c r="Q333" s="20" t="str">
        <f>IF(OR(LEFT('Web Links'!$C333,2)="In",$C333="Error"),"?????",IF(LEN(G333)=4,"",IF(LEN(G333)=3,"",IF(LEN(G333)=2,"",IF(LEN(G333)=1,"",""))))&amp;'Web Links'!G333)</f>
        <v>?????</v>
      </c>
      <c r="R333" s="20" t="str">
        <f>IF(OR(LEFT('Web Links'!$C333,2)="In",$C333="Error"),"???????????????",""&amp;F333)</f>
        <v>???????????????</v>
      </c>
    </row>
    <row r="334" spans="1:18" x14ac:dyDescent="0.2">
      <c r="A334" s="20">
        <f>IF('GL Template'!B348&lt;&gt;"",'GL Template'!B348,0)</f>
        <v>0</v>
      </c>
      <c r="B334" s="20">
        <f>IF('GL Template'!D348&lt;&gt;"",'GL Template'!D348,0)</f>
        <v>0</v>
      </c>
      <c r="C334" s="20" t="s">
        <v>95</v>
      </c>
      <c r="N334" s="20" t="str">
        <f>IF(OR(LEFT('Web Links'!$C334,2)="In",$C334="Error"),"?????",""&amp;C334)</f>
        <v>?????</v>
      </c>
      <c r="O334" s="20" t="str">
        <f>IF(OR(LEFT('Web Links'!$C334,2)="In",$C334="Error"),"??????????",""&amp;D334)</f>
        <v>??????????</v>
      </c>
      <c r="P334" s="20" t="str">
        <f>IF(OR(LEFT('Web Links'!$C334,2)="In",$C334="Error"),"???",IF(LEN(E334)=2,"0",IF(LEN(E334)=1,"00","")))&amp;'Web Links'!E334</f>
        <v>???</v>
      </c>
      <c r="Q334" s="20" t="str">
        <f>IF(OR(LEFT('Web Links'!$C334,2)="In",$C334="Error"),"?????",IF(LEN(G334)=4,"",IF(LEN(G334)=3,"",IF(LEN(G334)=2,"",IF(LEN(G334)=1,"",""))))&amp;'Web Links'!G334)</f>
        <v>?????</v>
      </c>
      <c r="R334" s="20" t="str">
        <f>IF(OR(LEFT('Web Links'!$C334,2)="In",$C334="Error"),"???????????????",""&amp;F334)</f>
        <v>???????????????</v>
      </c>
    </row>
    <row r="335" spans="1:18" x14ac:dyDescent="0.2">
      <c r="A335" s="20">
        <f>IF('GL Template'!B349&lt;&gt;"",'GL Template'!B349,0)</f>
        <v>0</v>
      </c>
      <c r="B335" s="20">
        <f>IF('GL Template'!D349&lt;&gt;"",'GL Template'!D349,0)</f>
        <v>0</v>
      </c>
      <c r="C335" s="20" t="s">
        <v>95</v>
      </c>
      <c r="N335" s="20" t="str">
        <f>IF(OR(LEFT('Web Links'!$C335,2)="In",$C335="Error"),"?????",""&amp;C335)</f>
        <v>?????</v>
      </c>
      <c r="O335" s="20" t="str">
        <f>IF(OR(LEFT('Web Links'!$C335,2)="In",$C335="Error"),"??????????",""&amp;D335)</f>
        <v>??????????</v>
      </c>
      <c r="P335" s="20" t="str">
        <f>IF(OR(LEFT('Web Links'!$C335,2)="In",$C335="Error"),"???",IF(LEN(E335)=2,"0",IF(LEN(E335)=1,"00","")))&amp;'Web Links'!E335</f>
        <v>???</v>
      </c>
      <c r="Q335" s="20" t="str">
        <f>IF(OR(LEFT('Web Links'!$C335,2)="In",$C335="Error"),"?????",IF(LEN(G335)=4,"",IF(LEN(G335)=3,"",IF(LEN(G335)=2,"",IF(LEN(G335)=1,"",""))))&amp;'Web Links'!G335)</f>
        <v>?????</v>
      </c>
      <c r="R335" s="20" t="str">
        <f>IF(OR(LEFT('Web Links'!$C335,2)="In",$C335="Error"),"???????????????",""&amp;F335)</f>
        <v>???????????????</v>
      </c>
    </row>
    <row r="336" spans="1:18" x14ac:dyDescent="0.2">
      <c r="A336" s="20">
        <f>IF('GL Template'!B350&lt;&gt;"",'GL Template'!B350,0)</f>
        <v>0</v>
      </c>
      <c r="B336" s="20">
        <f>IF('GL Template'!D350&lt;&gt;"",'GL Template'!D350,0)</f>
        <v>0</v>
      </c>
      <c r="C336" s="20" t="s">
        <v>95</v>
      </c>
      <c r="N336" s="20" t="str">
        <f>IF(OR(LEFT('Web Links'!$C336,2)="In",$C336="Error"),"?????",""&amp;C336)</f>
        <v>?????</v>
      </c>
      <c r="O336" s="20" t="str">
        <f>IF(OR(LEFT('Web Links'!$C336,2)="In",$C336="Error"),"??????????",""&amp;D336)</f>
        <v>??????????</v>
      </c>
      <c r="P336" s="20" t="str">
        <f>IF(OR(LEFT('Web Links'!$C336,2)="In",$C336="Error"),"???",IF(LEN(E336)=2,"0",IF(LEN(E336)=1,"00","")))&amp;'Web Links'!E336</f>
        <v>???</v>
      </c>
      <c r="Q336" s="20" t="str">
        <f>IF(OR(LEFT('Web Links'!$C336,2)="In",$C336="Error"),"?????",IF(LEN(G336)=4,"",IF(LEN(G336)=3,"",IF(LEN(G336)=2,"",IF(LEN(G336)=1,"",""))))&amp;'Web Links'!G336)</f>
        <v>?????</v>
      </c>
      <c r="R336" s="20" t="str">
        <f>IF(OR(LEFT('Web Links'!$C336,2)="In",$C336="Error"),"???????????????",""&amp;F336)</f>
        <v>???????????????</v>
      </c>
    </row>
    <row r="337" spans="1:18" x14ac:dyDescent="0.2">
      <c r="A337" s="20">
        <f>IF('GL Template'!B351&lt;&gt;"",'GL Template'!B351,0)</f>
        <v>0</v>
      </c>
      <c r="B337" s="20">
        <f>IF('GL Template'!D351&lt;&gt;"",'GL Template'!D351,0)</f>
        <v>0</v>
      </c>
      <c r="C337" s="20" t="s">
        <v>95</v>
      </c>
      <c r="N337" s="20" t="str">
        <f>IF(OR(LEFT('Web Links'!$C337,2)="In",$C337="Error"),"?????",""&amp;C337)</f>
        <v>?????</v>
      </c>
      <c r="O337" s="20" t="str">
        <f>IF(OR(LEFT('Web Links'!$C337,2)="In",$C337="Error"),"??????????",""&amp;D337)</f>
        <v>??????????</v>
      </c>
      <c r="P337" s="20" t="str">
        <f>IF(OR(LEFT('Web Links'!$C337,2)="In",$C337="Error"),"???",IF(LEN(E337)=2,"0",IF(LEN(E337)=1,"00","")))&amp;'Web Links'!E337</f>
        <v>???</v>
      </c>
      <c r="Q337" s="20" t="str">
        <f>IF(OR(LEFT('Web Links'!$C337,2)="In",$C337="Error"),"?????",IF(LEN(G337)=4,"",IF(LEN(G337)=3,"",IF(LEN(G337)=2,"",IF(LEN(G337)=1,"",""))))&amp;'Web Links'!G337)</f>
        <v>?????</v>
      </c>
      <c r="R337" s="20" t="str">
        <f>IF(OR(LEFT('Web Links'!$C337,2)="In",$C337="Error"),"???????????????",""&amp;F337)</f>
        <v>???????????????</v>
      </c>
    </row>
    <row r="338" spans="1:18" x14ac:dyDescent="0.2">
      <c r="A338" s="20">
        <f>IF('GL Template'!B352&lt;&gt;"",'GL Template'!B352,0)</f>
        <v>0</v>
      </c>
      <c r="B338" s="20">
        <f>IF('GL Template'!D352&lt;&gt;"",'GL Template'!D352,0)</f>
        <v>0</v>
      </c>
      <c r="C338" s="20" t="s">
        <v>95</v>
      </c>
      <c r="N338" s="20" t="str">
        <f>IF(OR(LEFT('Web Links'!$C338,2)="In",$C338="Error"),"?????",""&amp;C338)</f>
        <v>?????</v>
      </c>
      <c r="O338" s="20" t="str">
        <f>IF(OR(LEFT('Web Links'!$C338,2)="In",$C338="Error"),"??????????",""&amp;D338)</f>
        <v>??????????</v>
      </c>
      <c r="P338" s="20" t="str">
        <f>IF(OR(LEFT('Web Links'!$C338,2)="In",$C338="Error"),"???",IF(LEN(E338)=2,"0",IF(LEN(E338)=1,"00","")))&amp;'Web Links'!E338</f>
        <v>???</v>
      </c>
      <c r="Q338" s="20" t="str">
        <f>IF(OR(LEFT('Web Links'!$C338,2)="In",$C338="Error"),"?????",IF(LEN(G338)=4,"",IF(LEN(G338)=3,"",IF(LEN(G338)=2,"",IF(LEN(G338)=1,"",""))))&amp;'Web Links'!G338)</f>
        <v>?????</v>
      </c>
      <c r="R338" s="20" t="str">
        <f>IF(OR(LEFT('Web Links'!$C338,2)="In",$C338="Error"),"???????????????",""&amp;F338)</f>
        <v>???????????????</v>
      </c>
    </row>
    <row r="339" spans="1:18" x14ac:dyDescent="0.2">
      <c r="A339" s="20">
        <f>IF('GL Template'!B353&lt;&gt;"",'GL Template'!B353,0)</f>
        <v>0</v>
      </c>
      <c r="B339" s="20">
        <f>IF('GL Template'!D353&lt;&gt;"",'GL Template'!D353,0)</f>
        <v>0</v>
      </c>
      <c r="C339" s="20" t="s">
        <v>95</v>
      </c>
      <c r="N339" s="20" t="str">
        <f>IF(OR(LEFT('Web Links'!$C339,2)="In",$C339="Error"),"?????",""&amp;C339)</f>
        <v>?????</v>
      </c>
      <c r="O339" s="20" t="str">
        <f>IF(OR(LEFT('Web Links'!$C339,2)="In",$C339="Error"),"??????????",""&amp;D339)</f>
        <v>??????????</v>
      </c>
      <c r="P339" s="20" t="str">
        <f>IF(OR(LEFT('Web Links'!$C339,2)="In",$C339="Error"),"???",IF(LEN(E339)=2,"0",IF(LEN(E339)=1,"00","")))&amp;'Web Links'!E339</f>
        <v>???</v>
      </c>
      <c r="Q339" s="20" t="str">
        <f>IF(OR(LEFT('Web Links'!$C339,2)="In",$C339="Error"),"?????",IF(LEN(G339)=4,"",IF(LEN(G339)=3,"",IF(LEN(G339)=2,"",IF(LEN(G339)=1,"",""))))&amp;'Web Links'!G339)</f>
        <v>?????</v>
      </c>
      <c r="R339" s="20" t="str">
        <f>IF(OR(LEFT('Web Links'!$C339,2)="In",$C339="Error"),"???????????????",""&amp;F339)</f>
        <v>???????????????</v>
      </c>
    </row>
    <row r="340" spans="1:18" x14ac:dyDescent="0.2">
      <c r="A340" s="20">
        <f>IF('GL Template'!B354&lt;&gt;"",'GL Template'!B354,0)</f>
        <v>0</v>
      </c>
      <c r="B340" s="20">
        <f>IF('GL Template'!D354&lt;&gt;"",'GL Template'!D354,0)</f>
        <v>0</v>
      </c>
      <c r="C340" s="20" t="s">
        <v>95</v>
      </c>
      <c r="N340" s="20" t="str">
        <f>IF(OR(LEFT('Web Links'!$C340,2)="In",$C340="Error"),"?????",""&amp;C340)</f>
        <v>?????</v>
      </c>
      <c r="O340" s="20" t="str">
        <f>IF(OR(LEFT('Web Links'!$C340,2)="In",$C340="Error"),"??????????",""&amp;D340)</f>
        <v>??????????</v>
      </c>
      <c r="P340" s="20" t="str">
        <f>IF(OR(LEFT('Web Links'!$C340,2)="In",$C340="Error"),"???",IF(LEN(E340)=2,"0",IF(LEN(E340)=1,"00","")))&amp;'Web Links'!E340</f>
        <v>???</v>
      </c>
      <c r="Q340" s="20" t="str">
        <f>IF(OR(LEFT('Web Links'!$C340,2)="In",$C340="Error"),"?????",IF(LEN(G340)=4,"",IF(LEN(G340)=3,"",IF(LEN(G340)=2,"",IF(LEN(G340)=1,"",""))))&amp;'Web Links'!G340)</f>
        <v>?????</v>
      </c>
      <c r="R340" s="20" t="str">
        <f>IF(OR(LEFT('Web Links'!$C340,2)="In",$C340="Error"),"???????????????",""&amp;F340)</f>
        <v>???????????????</v>
      </c>
    </row>
    <row r="341" spans="1:18" x14ac:dyDescent="0.2">
      <c r="A341" s="20">
        <f>IF('GL Template'!B355&lt;&gt;"",'GL Template'!B355,0)</f>
        <v>0</v>
      </c>
      <c r="B341" s="20">
        <f>IF('GL Template'!D355&lt;&gt;"",'GL Template'!D355,0)</f>
        <v>0</v>
      </c>
      <c r="C341" s="20" t="s">
        <v>95</v>
      </c>
      <c r="N341" s="20" t="str">
        <f>IF(OR(LEFT('Web Links'!$C341,2)="In",$C341="Error"),"?????",""&amp;C341)</f>
        <v>?????</v>
      </c>
      <c r="O341" s="20" t="str">
        <f>IF(OR(LEFT('Web Links'!$C341,2)="In",$C341="Error"),"??????????",""&amp;D341)</f>
        <v>??????????</v>
      </c>
      <c r="P341" s="20" t="str">
        <f>IF(OR(LEFT('Web Links'!$C341,2)="In",$C341="Error"),"???",IF(LEN(E341)=2,"0",IF(LEN(E341)=1,"00","")))&amp;'Web Links'!E341</f>
        <v>???</v>
      </c>
      <c r="Q341" s="20" t="str">
        <f>IF(OR(LEFT('Web Links'!$C341,2)="In",$C341="Error"),"?????",IF(LEN(G341)=4,"",IF(LEN(G341)=3,"",IF(LEN(G341)=2,"",IF(LEN(G341)=1,"",""))))&amp;'Web Links'!G341)</f>
        <v>?????</v>
      </c>
      <c r="R341" s="20" t="str">
        <f>IF(OR(LEFT('Web Links'!$C341,2)="In",$C341="Error"),"???????????????",""&amp;F341)</f>
        <v>???????????????</v>
      </c>
    </row>
    <row r="342" spans="1:18" x14ac:dyDescent="0.2">
      <c r="A342" s="20">
        <f>IF('GL Template'!B356&lt;&gt;"",'GL Template'!B356,0)</f>
        <v>0</v>
      </c>
      <c r="B342" s="20">
        <f>IF('GL Template'!D356&lt;&gt;"",'GL Template'!D356,0)</f>
        <v>0</v>
      </c>
      <c r="C342" s="20" t="s">
        <v>95</v>
      </c>
      <c r="N342" s="20" t="str">
        <f>IF(OR(LEFT('Web Links'!$C342,2)="In",$C342="Error"),"?????",""&amp;C342)</f>
        <v>?????</v>
      </c>
      <c r="O342" s="20" t="str">
        <f>IF(OR(LEFT('Web Links'!$C342,2)="In",$C342="Error"),"??????????",""&amp;D342)</f>
        <v>??????????</v>
      </c>
      <c r="P342" s="20" t="str">
        <f>IF(OR(LEFT('Web Links'!$C342,2)="In",$C342="Error"),"???",IF(LEN(E342)=2,"0",IF(LEN(E342)=1,"00","")))&amp;'Web Links'!E342</f>
        <v>???</v>
      </c>
      <c r="Q342" s="20" t="str">
        <f>IF(OR(LEFT('Web Links'!$C342,2)="In",$C342="Error"),"?????",IF(LEN(G342)=4,"",IF(LEN(G342)=3,"",IF(LEN(G342)=2,"",IF(LEN(G342)=1,"",""))))&amp;'Web Links'!G342)</f>
        <v>?????</v>
      </c>
      <c r="R342" s="20" t="str">
        <f>IF(OR(LEFT('Web Links'!$C342,2)="In",$C342="Error"),"???????????????",""&amp;F342)</f>
        <v>???????????????</v>
      </c>
    </row>
    <row r="343" spans="1:18" x14ac:dyDescent="0.2">
      <c r="A343" s="20">
        <f>IF('GL Template'!B357&lt;&gt;"",'GL Template'!B357,0)</f>
        <v>0</v>
      </c>
      <c r="B343" s="20">
        <f>IF('GL Template'!D357&lt;&gt;"",'GL Template'!D357,0)</f>
        <v>0</v>
      </c>
      <c r="C343" s="20" t="s">
        <v>95</v>
      </c>
      <c r="N343" s="20" t="str">
        <f>IF(OR(LEFT('Web Links'!$C343,2)="In",$C343="Error"),"?????",""&amp;C343)</f>
        <v>?????</v>
      </c>
      <c r="O343" s="20" t="str">
        <f>IF(OR(LEFT('Web Links'!$C343,2)="In",$C343="Error"),"??????????",""&amp;D343)</f>
        <v>??????????</v>
      </c>
      <c r="P343" s="20" t="str">
        <f>IF(OR(LEFT('Web Links'!$C343,2)="In",$C343="Error"),"???",IF(LEN(E343)=2,"0",IF(LEN(E343)=1,"00","")))&amp;'Web Links'!E343</f>
        <v>???</v>
      </c>
      <c r="Q343" s="20" t="str">
        <f>IF(OR(LEFT('Web Links'!$C343,2)="In",$C343="Error"),"?????",IF(LEN(G343)=4,"",IF(LEN(G343)=3,"",IF(LEN(G343)=2,"",IF(LEN(G343)=1,"",""))))&amp;'Web Links'!G343)</f>
        <v>?????</v>
      </c>
      <c r="R343" s="20" t="str">
        <f>IF(OR(LEFT('Web Links'!$C343,2)="In",$C343="Error"),"???????????????",""&amp;F343)</f>
        <v>???????????????</v>
      </c>
    </row>
    <row r="344" spans="1:18" x14ac:dyDescent="0.2">
      <c r="A344" s="20">
        <f>IF('GL Template'!B358&lt;&gt;"",'GL Template'!B358,0)</f>
        <v>0</v>
      </c>
      <c r="B344" s="20">
        <f>IF('GL Template'!D358&lt;&gt;"",'GL Template'!D358,0)</f>
        <v>0</v>
      </c>
      <c r="C344" s="20" t="s">
        <v>95</v>
      </c>
      <c r="N344" s="20" t="str">
        <f>IF(OR(LEFT('Web Links'!$C344,2)="In",$C344="Error"),"?????",""&amp;C344)</f>
        <v>?????</v>
      </c>
      <c r="O344" s="20" t="str">
        <f>IF(OR(LEFT('Web Links'!$C344,2)="In",$C344="Error"),"??????????",""&amp;D344)</f>
        <v>??????????</v>
      </c>
      <c r="P344" s="20" t="str">
        <f>IF(OR(LEFT('Web Links'!$C344,2)="In",$C344="Error"),"???",IF(LEN(E344)=2,"0",IF(LEN(E344)=1,"00","")))&amp;'Web Links'!E344</f>
        <v>???</v>
      </c>
      <c r="Q344" s="20" t="str">
        <f>IF(OR(LEFT('Web Links'!$C344,2)="In",$C344="Error"),"?????",IF(LEN(G344)=4,"",IF(LEN(G344)=3,"",IF(LEN(G344)=2,"",IF(LEN(G344)=1,"",""))))&amp;'Web Links'!G344)</f>
        <v>?????</v>
      </c>
      <c r="R344" s="20" t="str">
        <f>IF(OR(LEFT('Web Links'!$C344,2)="In",$C344="Error"),"???????????????",""&amp;F344)</f>
        <v>???????????????</v>
      </c>
    </row>
    <row r="345" spans="1:18" x14ac:dyDescent="0.2">
      <c r="A345" s="20">
        <f>IF('GL Template'!B359&lt;&gt;"",'GL Template'!B359,0)</f>
        <v>0</v>
      </c>
      <c r="B345" s="20">
        <f>IF('GL Template'!D359&lt;&gt;"",'GL Template'!D359,0)</f>
        <v>0</v>
      </c>
      <c r="C345" s="20" t="s">
        <v>95</v>
      </c>
      <c r="N345" s="20" t="str">
        <f>IF(OR(LEFT('Web Links'!$C345,2)="In",$C345="Error"),"?????",""&amp;C345)</f>
        <v>?????</v>
      </c>
      <c r="O345" s="20" t="str">
        <f>IF(OR(LEFT('Web Links'!$C345,2)="In",$C345="Error"),"??????????",""&amp;D345)</f>
        <v>??????????</v>
      </c>
      <c r="P345" s="20" t="str">
        <f>IF(OR(LEFT('Web Links'!$C345,2)="In",$C345="Error"),"???",IF(LEN(E345)=2,"0",IF(LEN(E345)=1,"00","")))&amp;'Web Links'!E345</f>
        <v>???</v>
      </c>
      <c r="Q345" s="20" t="str">
        <f>IF(OR(LEFT('Web Links'!$C345,2)="In",$C345="Error"),"?????",IF(LEN(G345)=4,"",IF(LEN(G345)=3,"",IF(LEN(G345)=2,"",IF(LEN(G345)=1,"",""))))&amp;'Web Links'!G345)</f>
        <v>?????</v>
      </c>
      <c r="R345" s="20" t="str">
        <f>IF(OR(LEFT('Web Links'!$C345,2)="In",$C345="Error"),"???????????????",""&amp;F345)</f>
        <v>???????????????</v>
      </c>
    </row>
    <row r="346" spans="1:18" x14ac:dyDescent="0.2">
      <c r="A346" s="20">
        <f>IF('GL Template'!B360&lt;&gt;"",'GL Template'!B360,0)</f>
        <v>0</v>
      </c>
      <c r="B346" s="20">
        <f>IF('GL Template'!D360&lt;&gt;"",'GL Template'!D360,0)</f>
        <v>0</v>
      </c>
      <c r="C346" s="20" t="s">
        <v>95</v>
      </c>
      <c r="N346" s="20" t="str">
        <f>IF(OR(LEFT('Web Links'!$C346,2)="In",$C346="Error"),"?????",""&amp;C346)</f>
        <v>?????</v>
      </c>
      <c r="O346" s="20" t="str">
        <f>IF(OR(LEFT('Web Links'!$C346,2)="In",$C346="Error"),"??????????",""&amp;D346)</f>
        <v>??????????</v>
      </c>
      <c r="P346" s="20" t="str">
        <f>IF(OR(LEFT('Web Links'!$C346,2)="In",$C346="Error"),"???",IF(LEN(E346)=2,"0",IF(LEN(E346)=1,"00","")))&amp;'Web Links'!E346</f>
        <v>???</v>
      </c>
      <c r="Q346" s="20" t="str">
        <f>IF(OR(LEFT('Web Links'!$C346,2)="In",$C346="Error"),"?????",IF(LEN(G346)=4,"",IF(LEN(G346)=3,"",IF(LEN(G346)=2,"",IF(LEN(G346)=1,"",""))))&amp;'Web Links'!G346)</f>
        <v>?????</v>
      </c>
      <c r="R346" s="20" t="str">
        <f>IF(OR(LEFT('Web Links'!$C346,2)="In",$C346="Error"),"???????????????",""&amp;F346)</f>
        <v>???????????????</v>
      </c>
    </row>
    <row r="347" spans="1:18" x14ac:dyDescent="0.2">
      <c r="A347" s="20">
        <f>IF('GL Template'!B361&lt;&gt;"",'GL Template'!B361,0)</f>
        <v>0</v>
      </c>
      <c r="B347" s="20">
        <f>IF('GL Template'!D361&lt;&gt;"",'GL Template'!D361,0)</f>
        <v>0</v>
      </c>
      <c r="C347" s="20" t="s">
        <v>95</v>
      </c>
      <c r="N347" s="20" t="str">
        <f>IF(OR(LEFT('Web Links'!$C347,2)="In",$C347="Error"),"?????",""&amp;C347)</f>
        <v>?????</v>
      </c>
      <c r="O347" s="20" t="str">
        <f>IF(OR(LEFT('Web Links'!$C347,2)="In",$C347="Error"),"??????????",""&amp;D347)</f>
        <v>??????????</v>
      </c>
      <c r="P347" s="20" t="str">
        <f>IF(OR(LEFT('Web Links'!$C347,2)="In",$C347="Error"),"???",IF(LEN(E347)=2,"0",IF(LEN(E347)=1,"00","")))&amp;'Web Links'!E347</f>
        <v>???</v>
      </c>
      <c r="Q347" s="20" t="str">
        <f>IF(OR(LEFT('Web Links'!$C347,2)="In",$C347="Error"),"?????",IF(LEN(G347)=4,"",IF(LEN(G347)=3,"",IF(LEN(G347)=2,"",IF(LEN(G347)=1,"",""))))&amp;'Web Links'!G347)</f>
        <v>?????</v>
      </c>
      <c r="R347" s="20" t="str">
        <f>IF(OR(LEFT('Web Links'!$C347,2)="In",$C347="Error"),"???????????????",""&amp;F347)</f>
        <v>???????????????</v>
      </c>
    </row>
    <row r="348" spans="1:18" x14ac:dyDescent="0.2">
      <c r="A348" s="20">
        <f>IF('GL Template'!B362&lt;&gt;"",'GL Template'!B362,0)</f>
        <v>0</v>
      </c>
      <c r="B348" s="20">
        <f>IF('GL Template'!D362&lt;&gt;"",'GL Template'!D362,0)</f>
        <v>0</v>
      </c>
      <c r="C348" s="20" t="s">
        <v>95</v>
      </c>
      <c r="N348" s="20" t="str">
        <f>IF(OR(LEFT('Web Links'!$C348,2)="In",$C348="Error"),"?????",""&amp;C348)</f>
        <v>?????</v>
      </c>
      <c r="O348" s="20" t="str">
        <f>IF(OR(LEFT('Web Links'!$C348,2)="In",$C348="Error"),"??????????",""&amp;D348)</f>
        <v>??????????</v>
      </c>
      <c r="P348" s="20" t="str">
        <f>IF(OR(LEFT('Web Links'!$C348,2)="In",$C348="Error"),"???",IF(LEN(E348)=2,"0",IF(LEN(E348)=1,"00","")))&amp;'Web Links'!E348</f>
        <v>???</v>
      </c>
      <c r="Q348" s="20" t="str">
        <f>IF(OR(LEFT('Web Links'!$C348,2)="In",$C348="Error"),"?????",IF(LEN(G348)=4,"",IF(LEN(G348)=3,"",IF(LEN(G348)=2,"",IF(LEN(G348)=1,"",""))))&amp;'Web Links'!G348)</f>
        <v>?????</v>
      </c>
      <c r="R348" s="20" t="str">
        <f>IF(OR(LEFT('Web Links'!$C348,2)="In",$C348="Error"),"???????????????",""&amp;F348)</f>
        <v>???????????????</v>
      </c>
    </row>
    <row r="349" spans="1:18" x14ac:dyDescent="0.2">
      <c r="A349" s="20">
        <f>IF('GL Template'!B363&lt;&gt;"",'GL Template'!B363,0)</f>
        <v>0</v>
      </c>
      <c r="B349" s="20">
        <f>IF('GL Template'!D363&lt;&gt;"",'GL Template'!D363,0)</f>
        <v>0</v>
      </c>
      <c r="C349" s="20" t="s">
        <v>95</v>
      </c>
      <c r="N349" s="20" t="str">
        <f>IF(OR(LEFT('Web Links'!$C349,2)="In",$C349="Error"),"?????",""&amp;C349)</f>
        <v>?????</v>
      </c>
      <c r="O349" s="20" t="str">
        <f>IF(OR(LEFT('Web Links'!$C349,2)="In",$C349="Error"),"??????????",""&amp;D349)</f>
        <v>??????????</v>
      </c>
      <c r="P349" s="20" t="str">
        <f>IF(OR(LEFT('Web Links'!$C349,2)="In",$C349="Error"),"???",IF(LEN(E349)=2,"0",IF(LEN(E349)=1,"00","")))&amp;'Web Links'!E349</f>
        <v>???</v>
      </c>
      <c r="Q349" s="20" t="str">
        <f>IF(OR(LEFT('Web Links'!$C349,2)="In",$C349="Error"),"?????",IF(LEN(G349)=4,"",IF(LEN(G349)=3,"",IF(LEN(G349)=2,"",IF(LEN(G349)=1,"",""))))&amp;'Web Links'!G349)</f>
        <v>?????</v>
      </c>
      <c r="R349" s="20" t="str">
        <f>IF(OR(LEFT('Web Links'!$C349,2)="In",$C349="Error"),"???????????????",""&amp;F349)</f>
        <v>???????????????</v>
      </c>
    </row>
    <row r="350" spans="1:18" x14ac:dyDescent="0.2">
      <c r="A350" s="20">
        <f>IF('GL Template'!B364&lt;&gt;"",'GL Template'!B364,0)</f>
        <v>0</v>
      </c>
      <c r="B350" s="20">
        <f>IF('GL Template'!D364&lt;&gt;"",'GL Template'!D364,0)</f>
        <v>0</v>
      </c>
      <c r="C350" s="20" t="s">
        <v>95</v>
      </c>
      <c r="N350" s="20" t="str">
        <f>IF(OR(LEFT('Web Links'!$C350,2)="In",$C350="Error"),"?????",""&amp;C350)</f>
        <v>?????</v>
      </c>
      <c r="O350" s="20" t="str">
        <f>IF(OR(LEFT('Web Links'!$C350,2)="In",$C350="Error"),"??????????",""&amp;D350)</f>
        <v>??????????</v>
      </c>
      <c r="P350" s="20" t="str">
        <f>IF(OR(LEFT('Web Links'!$C350,2)="In",$C350="Error"),"???",IF(LEN(E350)=2,"0",IF(LEN(E350)=1,"00","")))&amp;'Web Links'!E350</f>
        <v>???</v>
      </c>
      <c r="Q350" s="20" t="str">
        <f>IF(OR(LEFT('Web Links'!$C350,2)="In",$C350="Error"),"?????",IF(LEN(G350)=4,"",IF(LEN(G350)=3,"",IF(LEN(G350)=2,"",IF(LEN(G350)=1,"",""))))&amp;'Web Links'!G350)</f>
        <v>?????</v>
      </c>
      <c r="R350" s="20" t="str">
        <f>IF(OR(LEFT('Web Links'!$C350,2)="In",$C350="Error"),"???????????????",""&amp;F350)</f>
        <v>???????????????</v>
      </c>
    </row>
    <row r="351" spans="1:18" x14ac:dyDescent="0.2">
      <c r="A351" s="20">
        <f>IF('GL Template'!B365&lt;&gt;"",'GL Template'!B365,0)</f>
        <v>0</v>
      </c>
      <c r="B351" s="20">
        <f>IF('GL Template'!D365&lt;&gt;"",'GL Template'!D365,0)</f>
        <v>0</v>
      </c>
      <c r="C351" s="20" t="s">
        <v>95</v>
      </c>
      <c r="N351" s="20" t="str">
        <f>IF(OR(LEFT('Web Links'!$C351,2)="In",$C351="Error"),"?????",""&amp;C351)</f>
        <v>?????</v>
      </c>
      <c r="O351" s="20" t="str">
        <f>IF(OR(LEFT('Web Links'!$C351,2)="In",$C351="Error"),"??????????",""&amp;D351)</f>
        <v>??????????</v>
      </c>
      <c r="P351" s="20" t="str">
        <f>IF(OR(LEFT('Web Links'!$C351,2)="In",$C351="Error"),"???",IF(LEN(E351)=2,"0",IF(LEN(E351)=1,"00","")))&amp;'Web Links'!E351</f>
        <v>???</v>
      </c>
      <c r="Q351" s="20" t="str">
        <f>IF(OR(LEFT('Web Links'!$C351,2)="In",$C351="Error"),"?????",IF(LEN(G351)=4,"",IF(LEN(G351)=3,"",IF(LEN(G351)=2,"",IF(LEN(G351)=1,"",""))))&amp;'Web Links'!G351)</f>
        <v>?????</v>
      </c>
      <c r="R351" s="20" t="str">
        <f>IF(OR(LEFT('Web Links'!$C351,2)="In",$C351="Error"),"???????????????",""&amp;F351)</f>
        <v>???????????????</v>
      </c>
    </row>
    <row r="352" spans="1:18" x14ac:dyDescent="0.2">
      <c r="A352" s="20">
        <f>IF('GL Template'!B366&lt;&gt;"",'GL Template'!B366,0)</f>
        <v>0</v>
      </c>
      <c r="B352" s="20">
        <f>IF('GL Template'!D366&lt;&gt;"",'GL Template'!D366,0)</f>
        <v>0</v>
      </c>
      <c r="C352" s="20" t="s">
        <v>95</v>
      </c>
      <c r="N352" s="20" t="str">
        <f>IF(OR(LEFT('Web Links'!$C352,2)="In",$C352="Error"),"?????",""&amp;C352)</f>
        <v>?????</v>
      </c>
      <c r="O352" s="20" t="str">
        <f>IF(OR(LEFT('Web Links'!$C352,2)="In",$C352="Error"),"??????????",""&amp;D352)</f>
        <v>??????????</v>
      </c>
      <c r="P352" s="20" t="str">
        <f>IF(OR(LEFT('Web Links'!$C352,2)="In",$C352="Error"),"???",IF(LEN(E352)=2,"0",IF(LEN(E352)=1,"00","")))&amp;'Web Links'!E352</f>
        <v>???</v>
      </c>
      <c r="Q352" s="20" t="str">
        <f>IF(OR(LEFT('Web Links'!$C352,2)="In",$C352="Error"),"?????",IF(LEN(G352)=4,"",IF(LEN(G352)=3,"",IF(LEN(G352)=2,"",IF(LEN(G352)=1,"",""))))&amp;'Web Links'!G352)</f>
        <v>?????</v>
      </c>
      <c r="R352" s="20" t="str">
        <f>IF(OR(LEFT('Web Links'!$C352,2)="In",$C352="Error"),"???????????????",""&amp;F352)</f>
        <v>???????????????</v>
      </c>
    </row>
    <row r="353" spans="1:18" x14ac:dyDescent="0.2">
      <c r="A353" s="20">
        <f>IF('GL Template'!B367&lt;&gt;"",'GL Template'!B367,0)</f>
        <v>0</v>
      </c>
      <c r="B353" s="20">
        <f>IF('GL Template'!D367&lt;&gt;"",'GL Template'!D367,0)</f>
        <v>0</v>
      </c>
      <c r="C353" s="20" t="s">
        <v>95</v>
      </c>
      <c r="N353" s="20" t="str">
        <f>IF(OR(LEFT('Web Links'!$C353,2)="In",$C353="Error"),"?????",""&amp;C353)</f>
        <v>?????</v>
      </c>
      <c r="O353" s="20" t="str">
        <f>IF(OR(LEFT('Web Links'!$C353,2)="In",$C353="Error"),"??????????",""&amp;D353)</f>
        <v>??????????</v>
      </c>
      <c r="P353" s="20" t="str">
        <f>IF(OR(LEFT('Web Links'!$C353,2)="In",$C353="Error"),"???",IF(LEN(E353)=2,"0",IF(LEN(E353)=1,"00","")))&amp;'Web Links'!E353</f>
        <v>???</v>
      </c>
      <c r="Q353" s="20" t="str">
        <f>IF(OR(LEFT('Web Links'!$C353,2)="In",$C353="Error"),"?????",IF(LEN(G353)=4,"",IF(LEN(G353)=3,"",IF(LEN(G353)=2,"",IF(LEN(G353)=1,"",""))))&amp;'Web Links'!G353)</f>
        <v>?????</v>
      </c>
      <c r="R353" s="20" t="str">
        <f>IF(OR(LEFT('Web Links'!$C353,2)="In",$C353="Error"),"???????????????",""&amp;F353)</f>
        <v>???????????????</v>
      </c>
    </row>
    <row r="354" spans="1:18" x14ac:dyDescent="0.2">
      <c r="A354" s="20">
        <f>IF('GL Template'!B368&lt;&gt;"",'GL Template'!B368,0)</f>
        <v>0</v>
      </c>
      <c r="B354" s="20">
        <f>IF('GL Template'!D368&lt;&gt;"",'GL Template'!D368,0)</f>
        <v>0</v>
      </c>
      <c r="C354" s="20" t="s">
        <v>95</v>
      </c>
      <c r="N354" s="20" t="str">
        <f>IF(OR(LEFT('Web Links'!$C354,2)="In",$C354="Error"),"?????",""&amp;C354)</f>
        <v>?????</v>
      </c>
      <c r="O354" s="20" t="str">
        <f>IF(OR(LEFT('Web Links'!$C354,2)="In",$C354="Error"),"??????????",""&amp;D354)</f>
        <v>??????????</v>
      </c>
      <c r="P354" s="20" t="str">
        <f>IF(OR(LEFT('Web Links'!$C354,2)="In",$C354="Error"),"???",IF(LEN(E354)=2,"0",IF(LEN(E354)=1,"00","")))&amp;'Web Links'!E354</f>
        <v>???</v>
      </c>
      <c r="Q354" s="20" t="str">
        <f>IF(OR(LEFT('Web Links'!$C354,2)="In",$C354="Error"),"?????",IF(LEN(G354)=4,"",IF(LEN(G354)=3,"",IF(LEN(G354)=2,"",IF(LEN(G354)=1,"",""))))&amp;'Web Links'!G354)</f>
        <v>?????</v>
      </c>
      <c r="R354" s="20" t="str">
        <f>IF(OR(LEFT('Web Links'!$C354,2)="In",$C354="Error"),"???????????????",""&amp;F354)</f>
        <v>???????????????</v>
      </c>
    </row>
    <row r="355" spans="1:18" x14ac:dyDescent="0.2">
      <c r="A355" s="20">
        <f>IF('GL Template'!B369&lt;&gt;"",'GL Template'!B369,0)</f>
        <v>0</v>
      </c>
      <c r="B355" s="20">
        <f>IF('GL Template'!D369&lt;&gt;"",'GL Template'!D369,0)</f>
        <v>0</v>
      </c>
      <c r="C355" s="20" t="s">
        <v>95</v>
      </c>
      <c r="N355" s="20" t="str">
        <f>IF(OR(LEFT('Web Links'!$C355,2)="In",$C355="Error"),"?????",""&amp;C355)</f>
        <v>?????</v>
      </c>
      <c r="O355" s="20" t="str">
        <f>IF(OR(LEFT('Web Links'!$C355,2)="In",$C355="Error"),"??????????",""&amp;D355)</f>
        <v>??????????</v>
      </c>
      <c r="P355" s="20" t="str">
        <f>IF(OR(LEFT('Web Links'!$C355,2)="In",$C355="Error"),"???",IF(LEN(E355)=2,"0",IF(LEN(E355)=1,"00","")))&amp;'Web Links'!E355</f>
        <v>???</v>
      </c>
      <c r="Q355" s="20" t="str">
        <f>IF(OR(LEFT('Web Links'!$C355,2)="In",$C355="Error"),"?????",IF(LEN(G355)=4,"",IF(LEN(G355)=3,"",IF(LEN(G355)=2,"",IF(LEN(G355)=1,"",""))))&amp;'Web Links'!G355)</f>
        <v>?????</v>
      </c>
      <c r="R355" s="20" t="str">
        <f>IF(OR(LEFT('Web Links'!$C355,2)="In",$C355="Error"),"???????????????",""&amp;F355)</f>
        <v>???????????????</v>
      </c>
    </row>
    <row r="356" spans="1:18" x14ac:dyDescent="0.2">
      <c r="A356" s="20">
        <f>IF('GL Template'!B370&lt;&gt;"",'GL Template'!B370,0)</f>
        <v>0</v>
      </c>
      <c r="B356" s="20">
        <f>IF('GL Template'!D370&lt;&gt;"",'GL Template'!D370,0)</f>
        <v>0</v>
      </c>
      <c r="C356" s="20" t="s">
        <v>95</v>
      </c>
      <c r="N356" s="20" t="str">
        <f>IF(OR(LEFT('Web Links'!$C356,2)="In",$C356="Error"),"?????",""&amp;C356)</f>
        <v>?????</v>
      </c>
      <c r="O356" s="20" t="str">
        <f>IF(OR(LEFT('Web Links'!$C356,2)="In",$C356="Error"),"??????????",""&amp;D356)</f>
        <v>??????????</v>
      </c>
      <c r="P356" s="20" t="str">
        <f>IF(OR(LEFT('Web Links'!$C356,2)="In",$C356="Error"),"???",IF(LEN(E356)=2,"0",IF(LEN(E356)=1,"00","")))&amp;'Web Links'!E356</f>
        <v>???</v>
      </c>
      <c r="Q356" s="20" t="str">
        <f>IF(OR(LEFT('Web Links'!$C356,2)="In",$C356="Error"),"?????",IF(LEN(G356)=4,"",IF(LEN(G356)=3,"",IF(LEN(G356)=2,"",IF(LEN(G356)=1,"",""))))&amp;'Web Links'!G356)</f>
        <v>?????</v>
      </c>
      <c r="R356" s="20" t="str">
        <f>IF(OR(LEFT('Web Links'!$C356,2)="In",$C356="Error"),"???????????????",""&amp;F356)</f>
        <v>???????????????</v>
      </c>
    </row>
    <row r="357" spans="1:18" x14ac:dyDescent="0.2">
      <c r="A357" s="20">
        <f>IF('GL Template'!B371&lt;&gt;"",'GL Template'!B371,0)</f>
        <v>0</v>
      </c>
      <c r="B357" s="20">
        <f>IF('GL Template'!D371&lt;&gt;"",'GL Template'!D371,0)</f>
        <v>0</v>
      </c>
      <c r="C357" s="20" t="s">
        <v>95</v>
      </c>
      <c r="N357" s="20" t="str">
        <f>IF(OR(LEFT('Web Links'!$C357,2)="In",$C357="Error"),"?????",""&amp;C357)</f>
        <v>?????</v>
      </c>
      <c r="O357" s="20" t="str">
        <f>IF(OR(LEFT('Web Links'!$C357,2)="In",$C357="Error"),"??????????",""&amp;D357)</f>
        <v>??????????</v>
      </c>
      <c r="P357" s="20" t="str">
        <f>IF(OR(LEFT('Web Links'!$C357,2)="In",$C357="Error"),"???",IF(LEN(E357)=2,"0",IF(LEN(E357)=1,"00","")))&amp;'Web Links'!E357</f>
        <v>???</v>
      </c>
      <c r="Q357" s="20" t="str">
        <f>IF(OR(LEFT('Web Links'!$C357,2)="In",$C357="Error"),"?????",IF(LEN(G357)=4,"",IF(LEN(G357)=3,"",IF(LEN(G357)=2,"",IF(LEN(G357)=1,"",""))))&amp;'Web Links'!G357)</f>
        <v>?????</v>
      </c>
      <c r="R357" s="20" t="str">
        <f>IF(OR(LEFT('Web Links'!$C357,2)="In",$C357="Error"),"???????????????",""&amp;F357)</f>
        <v>???????????????</v>
      </c>
    </row>
    <row r="358" spans="1:18" x14ac:dyDescent="0.2">
      <c r="A358" s="20">
        <f>IF('GL Template'!B372&lt;&gt;"",'GL Template'!B372,0)</f>
        <v>0</v>
      </c>
      <c r="B358" s="20">
        <f>IF('GL Template'!D372&lt;&gt;"",'GL Template'!D372,0)</f>
        <v>0</v>
      </c>
      <c r="C358" s="20" t="s">
        <v>95</v>
      </c>
      <c r="N358" s="20" t="str">
        <f>IF(OR(LEFT('Web Links'!$C358,2)="In",$C358="Error"),"?????",""&amp;C358)</f>
        <v>?????</v>
      </c>
      <c r="O358" s="20" t="str">
        <f>IF(OR(LEFT('Web Links'!$C358,2)="In",$C358="Error"),"??????????",""&amp;D358)</f>
        <v>??????????</v>
      </c>
      <c r="P358" s="20" t="str">
        <f>IF(OR(LEFT('Web Links'!$C358,2)="In",$C358="Error"),"???",IF(LEN(E358)=2,"0",IF(LEN(E358)=1,"00","")))&amp;'Web Links'!E358</f>
        <v>???</v>
      </c>
      <c r="Q358" s="20" t="str">
        <f>IF(OR(LEFT('Web Links'!$C358,2)="In",$C358="Error"),"?????",IF(LEN(G358)=4,"",IF(LEN(G358)=3,"",IF(LEN(G358)=2,"",IF(LEN(G358)=1,"",""))))&amp;'Web Links'!G358)</f>
        <v>?????</v>
      </c>
      <c r="R358" s="20" t="str">
        <f>IF(OR(LEFT('Web Links'!$C358,2)="In",$C358="Error"),"???????????????",""&amp;F358)</f>
        <v>???????????????</v>
      </c>
    </row>
    <row r="359" spans="1:18" x14ac:dyDescent="0.2">
      <c r="A359" s="20">
        <f>IF('GL Template'!B373&lt;&gt;"",'GL Template'!B373,0)</f>
        <v>0</v>
      </c>
      <c r="B359" s="20">
        <f>IF('GL Template'!D373&lt;&gt;"",'GL Template'!D373,0)</f>
        <v>0</v>
      </c>
      <c r="C359" s="20" t="s">
        <v>95</v>
      </c>
      <c r="N359" s="20" t="str">
        <f>IF(OR(LEFT('Web Links'!$C359,2)="In",$C359="Error"),"?????",""&amp;C359)</f>
        <v>?????</v>
      </c>
      <c r="O359" s="20" t="str">
        <f>IF(OR(LEFT('Web Links'!$C359,2)="In",$C359="Error"),"??????????",""&amp;D359)</f>
        <v>??????????</v>
      </c>
      <c r="P359" s="20" t="str">
        <f>IF(OR(LEFT('Web Links'!$C359,2)="In",$C359="Error"),"???",IF(LEN(E359)=2,"0",IF(LEN(E359)=1,"00","")))&amp;'Web Links'!E359</f>
        <v>???</v>
      </c>
      <c r="Q359" s="20" t="str">
        <f>IF(OR(LEFT('Web Links'!$C359,2)="In",$C359="Error"),"?????",IF(LEN(G359)=4,"",IF(LEN(G359)=3,"",IF(LEN(G359)=2,"",IF(LEN(G359)=1,"",""))))&amp;'Web Links'!G359)</f>
        <v>?????</v>
      </c>
      <c r="R359" s="20" t="str">
        <f>IF(OR(LEFT('Web Links'!$C359,2)="In",$C359="Error"),"???????????????",""&amp;F359)</f>
        <v>???????????????</v>
      </c>
    </row>
    <row r="360" spans="1:18" x14ac:dyDescent="0.2">
      <c r="A360" s="20">
        <f>IF('GL Template'!B374&lt;&gt;"",'GL Template'!B374,0)</f>
        <v>0</v>
      </c>
      <c r="B360" s="20">
        <f>IF('GL Template'!D374&lt;&gt;"",'GL Template'!D374,0)</f>
        <v>0</v>
      </c>
      <c r="C360" s="20" t="s">
        <v>95</v>
      </c>
      <c r="N360" s="20" t="str">
        <f>IF(OR(LEFT('Web Links'!$C360,2)="In",$C360="Error"),"?????",""&amp;C360)</f>
        <v>?????</v>
      </c>
      <c r="O360" s="20" t="str">
        <f>IF(OR(LEFT('Web Links'!$C360,2)="In",$C360="Error"),"??????????",""&amp;D360)</f>
        <v>??????????</v>
      </c>
      <c r="P360" s="20" t="str">
        <f>IF(OR(LEFT('Web Links'!$C360,2)="In",$C360="Error"),"???",IF(LEN(E360)=2,"0",IF(LEN(E360)=1,"00","")))&amp;'Web Links'!E360</f>
        <v>???</v>
      </c>
      <c r="Q360" s="20" t="str">
        <f>IF(OR(LEFT('Web Links'!$C360,2)="In",$C360="Error"),"?????",IF(LEN(G360)=4,"",IF(LEN(G360)=3,"",IF(LEN(G360)=2,"",IF(LEN(G360)=1,"",""))))&amp;'Web Links'!G360)</f>
        <v>?????</v>
      </c>
      <c r="R360" s="20" t="str">
        <f>IF(OR(LEFT('Web Links'!$C360,2)="In",$C360="Error"),"???????????????",""&amp;F360)</f>
        <v>???????????????</v>
      </c>
    </row>
    <row r="361" spans="1:18" x14ac:dyDescent="0.2">
      <c r="A361" s="20">
        <f>IF('GL Template'!B375&lt;&gt;"",'GL Template'!B375,0)</f>
        <v>0</v>
      </c>
      <c r="B361" s="20">
        <f>IF('GL Template'!D375&lt;&gt;"",'GL Template'!D375,0)</f>
        <v>0</v>
      </c>
      <c r="C361" s="20" t="s">
        <v>95</v>
      </c>
      <c r="N361" s="20" t="str">
        <f>IF(OR(LEFT('Web Links'!$C361,2)="In",$C361="Error"),"?????",""&amp;C361)</f>
        <v>?????</v>
      </c>
      <c r="O361" s="20" t="str">
        <f>IF(OR(LEFT('Web Links'!$C361,2)="In",$C361="Error"),"??????????",""&amp;D361)</f>
        <v>??????????</v>
      </c>
      <c r="P361" s="20" t="str">
        <f>IF(OR(LEFT('Web Links'!$C361,2)="In",$C361="Error"),"???",IF(LEN(E361)=2,"0",IF(LEN(E361)=1,"00","")))&amp;'Web Links'!E361</f>
        <v>???</v>
      </c>
      <c r="Q361" s="20" t="str">
        <f>IF(OR(LEFT('Web Links'!$C361,2)="In",$C361="Error"),"?????",IF(LEN(G361)=4,"",IF(LEN(G361)=3,"",IF(LEN(G361)=2,"",IF(LEN(G361)=1,"",""))))&amp;'Web Links'!G361)</f>
        <v>?????</v>
      </c>
      <c r="R361" s="20" t="str">
        <f>IF(OR(LEFT('Web Links'!$C361,2)="In",$C361="Error"),"???????????????",""&amp;F361)</f>
        <v>???????????????</v>
      </c>
    </row>
    <row r="362" spans="1:18" x14ac:dyDescent="0.2">
      <c r="A362" s="20">
        <f>IF('GL Template'!B376&lt;&gt;"",'GL Template'!B376,0)</f>
        <v>0</v>
      </c>
      <c r="B362" s="20">
        <f>IF('GL Template'!D376&lt;&gt;"",'GL Template'!D376,0)</f>
        <v>0</v>
      </c>
      <c r="C362" s="20" t="s">
        <v>95</v>
      </c>
      <c r="N362" s="20" t="str">
        <f>IF(OR(LEFT('Web Links'!$C362,2)="In",$C362="Error"),"?????",""&amp;C362)</f>
        <v>?????</v>
      </c>
      <c r="O362" s="20" t="str">
        <f>IF(OR(LEFT('Web Links'!$C362,2)="In",$C362="Error"),"??????????",""&amp;D362)</f>
        <v>??????????</v>
      </c>
      <c r="P362" s="20" t="str">
        <f>IF(OR(LEFT('Web Links'!$C362,2)="In",$C362="Error"),"???",IF(LEN(E362)=2,"0",IF(LEN(E362)=1,"00","")))&amp;'Web Links'!E362</f>
        <v>???</v>
      </c>
      <c r="Q362" s="20" t="str">
        <f>IF(OR(LEFT('Web Links'!$C362,2)="In",$C362="Error"),"?????",IF(LEN(G362)=4,"",IF(LEN(G362)=3,"",IF(LEN(G362)=2,"",IF(LEN(G362)=1,"",""))))&amp;'Web Links'!G362)</f>
        <v>?????</v>
      </c>
      <c r="R362" s="20" t="str">
        <f>IF(OR(LEFT('Web Links'!$C362,2)="In",$C362="Error"),"???????????????",""&amp;F362)</f>
        <v>???????????????</v>
      </c>
    </row>
    <row r="363" spans="1:18" x14ac:dyDescent="0.2">
      <c r="A363" s="20">
        <f>IF('GL Template'!B377&lt;&gt;"",'GL Template'!B377,0)</f>
        <v>0</v>
      </c>
      <c r="B363" s="20">
        <f>IF('GL Template'!D377&lt;&gt;"",'GL Template'!D377,0)</f>
        <v>0</v>
      </c>
      <c r="C363" s="20" t="s">
        <v>95</v>
      </c>
      <c r="N363" s="20" t="str">
        <f>IF(OR(LEFT('Web Links'!$C363,2)="In",$C363="Error"),"?????",""&amp;C363)</f>
        <v>?????</v>
      </c>
      <c r="O363" s="20" t="str">
        <f>IF(OR(LEFT('Web Links'!$C363,2)="In",$C363="Error"),"??????????",""&amp;D363)</f>
        <v>??????????</v>
      </c>
      <c r="P363" s="20" t="str">
        <f>IF(OR(LEFT('Web Links'!$C363,2)="In",$C363="Error"),"???",IF(LEN(E363)=2,"0",IF(LEN(E363)=1,"00","")))&amp;'Web Links'!E363</f>
        <v>???</v>
      </c>
      <c r="Q363" s="20" t="str">
        <f>IF(OR(LEFT('Web Links'!$C363,2)="In",$C363="Error"),"?????",IF(LEN(G363)=4,"",IF(LEN(G363)=3,"",IF(LEN(G363)=2,"",IF(LEN(G363)=1,"",""))))&amp;'Web Links'!G363)</f>
        <v>?????</v>
      </c>
      <c r="R363" s="20" t="str">
        <f>IF(OR(LEFT('Web Links'!$C363,2)="In",$C363="Error"),"???????????????",""&amp;F363)</f>
        <v>???????????????</v>
      </c>
    </row>
    <row r="364" spans="1:18" x14ac:dyDescent="0.2">
      <c r="A364" s="20">
        <f>IF('GL Template'!B378&lt;&gt;"",'GL Template'!B378,0)</f>
        <v>0</v>
      </c>
      <c r="B364" s="20">
        <f>IF('GL Template'!D378&lt;&gt;"",'GL Template'!D378,0)</f>
        <v>0</v>
      </c>
      <c r="C364" s="20" t="s">
        <v>95</v>
      </c>
      <c r="N364" s="20" t="str">
        <f>IF(OR(LEFT('Web Links'!$C364,2)="In",$C364="Error"),"?????",""&amp;C364)</f>
        <v>?????</v>
      </c>
      <c r="O364" s="20" t="str">
        <f>IF(OR(LEFT('Web Links'!$C364,2)="In",$C364="Error"),"??????????",""&amp;D364)</f>
        <v>??????????</v>
      </c>
      <c r="P364" s="20" t="str">
        <f>IF(OR(LEFT('Web Links'!$C364,2)="In",$C364="Error"),"???",IF(LEN(E364)=2,"0",IF(LEN(E364)=1,"00","")))&amp;'Web Links'!E364</f>
        <v>???</v>
      </c>
      <c r="Q364" s="20" t="str">
        <f>IF(OR(LEFT('Web Links'!$C364,2)="In",$C364="Error"),"?????",IF(LEN(G364)=4,"",IF(LEN(G364)=3,"",IF(LEN(G364)=2,"",IF(LEN(G364)=1,"",""))))&amp;'Web Links'!G364)</f>
        <v>?????</v>
      </c>
      <c r="R364" s="20" t="str">
        <f>IF(OR(LEFT('Web Links'!$C364,2)="In",$C364="Error"),"???????????????",""&amp;F364)</f>
        <v>???????????????</v>
      </c>
    </row>
    <row r="365" spans="1:18" x14ac:dyDescent="0.2">
      <c r="A365" s="20">
        <f>IF('GL Template'!B379&lt;&gt;"",'GL Template'!B379,0)</f>
        <v>0</v>
      </c>
      <c r="B365" s="20">
        <f>IF('GL Template'!D379&lt;&gt;"",'GL Template'!D379,0)</f>
        <v>0</v>
      </c>
      <c r="C365" s="20" t="s">
        <v>95</v>
      </c>
      <c r="N365" s="20" t="str">
        <f>IF(OR(LEFT('Web Links'!$C365,2)="In",$C365="Error"),"?????",""&amp;C365)</f>
        <v>?????</v>
      </c>
      <c r="O365" s="20" t="str">
        <f>IF(OR(LEFT('Web Links'!$C365,2)="In",$C365="Error"),"??????????",""&amp;D365)</f>
        <v>??????????</v>
      </c>
      <c r="P365" s="20" t="str">
        <f>IF(OR(LEFT('Web Links'!$C365,2)="In",$C365="Error"),"???",IF(LEN(E365)=2,"0",IF(LEN(E365)=1,"00","")))&amp;'Web Links'!E365</f>
        <v>???</v>
      </c>
      <c r="Q365" s="20" t="str">
        <f>IF(OR(LEFT('Web Links'!$C365,2)="In",$C365="Error"),"?????",IF(LEN(G365)=4,"",IF(LEN(G365)=3,"",IF(LEN(G365)=2,"",IF(LEN(G365)=1,"",""))))&amp;'Web Links'!G365)</f>
        <v>?????</v>
      </c>
      <c r="R365" s="20" t="str">
        <f>IF(OR(LEFT('Web Links'!$C365,2)="In",$C365="Error"),"???????????????",""&amp;F365)</f>
        <v>???????????????</v>
      </c>
    </row>
    <row r="366" spans="1:18" x14ac:dyDescent="0.2">
      <c r="A366" s="20">
        <f>IF('GL Template'!B380&lt;&gt;"",'GL Template'!B380,0)</f>
        <v>0</v>
      </c>
      <c r="B366" s="20">
        <f>IF('GL Template'!D380&lt;&gt;"",'GL Template'!D380,0)</f>
        <v>0</v>
      </c>
      <c r="C366" s="20" t="s">
        <v>95</v>
      </c>
      <c r="N366" s="20" t="str">
        <f>IF(OR(LEFT('Web Links'!$C366,2)="In",$C366="Error"),"?????",""&amp;C366)</f>
        <v>?????</v>
      </c>
      <c r="O366" s="20" t="str">
        <f>IF(OR(LEFT('Web Links'!$C366,2)="In",$C366="Error"),"??????????",""&amp;D366)</f>
        <v>??????????</v>
      </c>
      <c r="P366" s="20" t="str">
        <f>IF(OR(LEFT('Web Links'!$C366,2)="In",$C366="Error"),"???",IF(LEN(E366)=2,"0",IF(LEN(E366)=1,"00","")))&amp;'Web Links'!E366</f>
        <v>???</v>
      </c>
      <c r="Q366" s="20" t="str">
        <f>IF(OR(LEFT('Web Links'!$C366,2)="In",$C366="Error"),"?????",IF(LEN(G366)=4,"",IF(LEN(G366)=3,"",IF(LEN(G366)=2,"",IF(LEN(G366)=1,"",""))))&amp;'Web Links'!G366)</f>
        <v>?????</v>
      </c>
      <c r="R366" s="20" t="str">
        <f>IF(OR(LEFT('Web Links'!$C366,2)="In",$C366="Error"),"???????????????",""&amp;F366)</f>
        <v>???????????????</v>
      </c>
    </row>
    <row r="367" spans="1:18" x14ac:dyDescent="0.2">
      <c r="A367" s="20">
        <f>IF('GL Template'!B381&lt;&gt;"",'GL Template'!B381,0)</f>
        <v>0</v>
      </c>
      <c r="B367" s="20">
        <f>IF('GL Template'!D381&lt;&gt;"",'GL Template'!D381,0)</f>
        <v>0</v>
      </c>
      <c r="C367" s="20" t="s">
        <v>95</v>
      </c>
      <c r="N367" s="20" t="str">
        <f>IF(OR(LEFT('Web Links'!$C367,2)="In",$C367="Error"),"?????",""&amp;C367)</f>
        <v>?????</v>
      </c>
      <c r="O367" s="20" t="str">
        <f>IF(OR(LEFT('Web Links'!$C367,2)="In",$C367="Error"),"??????????",""&amp;D367)</f>
        <v>??????????</v>
      </c>
      <c r="P367" s="20" t="str">
        <f>IF(OR(LEFT('Web Links'!$C367,2)="In",$C367="Error"),"???",IF(LEN(E367)=2,"0",IF(LEN(E367)=1,"00","")))&amp;'Web Links'!E367</f>
        <v>???</v>
      </c>
      <c r="Q367" s="20" t="str">
        <f>IF(OR(LEFT('Web Links'!$C367,2)="In",$C367="Error"),"?????",IF(LEN(G367)=4,"",IF(LEN(G367)=3,"",IF(LEN(G367)=2,"",IF(LEN(G367)=1,"",""))))&amp;'Web Links'!G367)</f>
        <v>?????</v>
      </c>
      <c r="R367" s="20" t="str">
        <f>IF(OR(LEFT('Web Links'!$C367,2)="In",$C367="Error"),"???????????????",""&amp;F367)</f>
        <v>???????????????</v>
      </c>
    </row>
    <row r="368" spans="1:18" x14ac:dyDescent="0.2">
      <c r="A368" s="20">
        <f>IF('GL Template'!B382&lt;&gt;"",'GL Template'!B382,0)</f>
        <v>0</v>
      </c>
      <c r="B368" s="20">
        <f>IF('GL Template'!D382&lt;&gt;"",'GL Template'!D382,0)</f>
        <v>0</v>
      </c>
      <c r="C368" s="20" t="s">
        <v>95</v>
      </c>
      <c r="N368" s="20" t="str">
        <f>IF(OR(LEFT('Web Links'!$C368,2)="In",$C368="Error"),"?????",""&amp;C368)</f>
        <v>?????</v>
      </c>
      <c r="O368" s="20" t="str">
        <f>IF(OR(LEFT('Web Links'!$C368,2)="In",$C368="Error"),"??????????",""&amp;D368)</f>
        <v>??????????</v>
      </c>
      <c r="P368" s="20" t="str">
        <f>IF(OR(LEFT('Web Links'!$C368,2)="In",$C368="Error"),"???",IF(LEN(E368)=2,"0",IF(LEN(E368)=1,"00","")))&amp;'Web Links'!E368</f>
        <v>???</v>
      </c>
      <c r="Q368" s="20" t="str">
        <f>IF(OR(LEFT('Web Links'!$C368,2)="In",$C368="Error"),"?????",IF(LEN(G368)=4,"",IF(LEN(G368)=3,"",IF(LEN(G368)=2,"",IF(LEN(G368)=1,"",""))))&amp;'Web Links'!G368)</f>
        <v>?????</v>
      </c>
      <c r="R368" s="20" t="str">
        <f>IF(OR(LEFT('Web Links'!$C368,2)="In",$C368="Error"),"???????????????",""&amp;F368)</f>
        <v>???????????????</v>
      </c>
    </row>
    <row r="369" spans="1:18" x14ac:dyDescent="0.2">
      <c r="A369" s="20">
        <f>IF('GL Template'!B383&lt;&gt;"",'GL Template'!B383,0)</f>
        <v>0</v>
      </c>
      <c r="B369" s="20">
        <f>IF('GL Template'!D383&lt;&gt;"",'GL Template'!D383,0)</f>
        <v>0</v>
      </c>
      <c r="C369" s="20" t="s">
        <v>95</v>
      </c>
      <c r="N369" s="20" t="str">
        <f>IF(OR(LEFT('Web Links'!$C369,2)="In",$C369="Error"),"?????",""&amp;C369)</f>
        <v>?????</v>
      </c>
      <c r="O369" s="20" t="str">
        <f>IF(OR(LEFT('Web Links'!$C369,2)="In",$C369="Error"),"??????????",""&amp;D369)</f>
        <v>??????????</v>
      </c>
      <c r="P369" s="20" t="str">
        <f>IF(OR(LEFT('Web Links'!$C369,2)="In",$C369="Error"),"???",IF(LEN(E369)=2,"0",IF(LEN(E369)=1,"00","")))&amp;'Web Links'!E369</f>
        <v>???</v>
      </c>
      <c r="Q369" s="20" t="str">
        <f>IF(OR(LEFT('Web Links'!$C369,2)="In",$C369="Error"),"?????",IF(LEN(G369)=4,"",IF(LEN(G369)=3,"",IF(LEN(G369)=2,"",IF(LEN(G369)=1,"",""))))&amp;'Web Links'!G369)</f>
        <v>?????</v>
      </c>
      <c r="R369" s="20" t="str">
        <f>IF(OR(LEFT('Web Links'!$C369,2)="In",$C369="Error"),"???????????????",""&amp;F369)</f>
        <v>???????????????</v>
      </c>
    </row>
    <row r="370" spans="1:18" x14ac:dyDescent="0.2">
      <c r="A370" s="20">
        <f>IF('GL Template'!B384&lt;&gt;"",'GL Template'!B384,0)</f>
        <v>0</v>
      </c>
      <c r="B370" s="20">
        <f>IF('GL Template'!D384&lt;&gt;"",'GL Template'!D384,0)</f>
        <v>0</v>
      </c>
      <c r="C370" s="20" t="s">
        <v>95</v>
      </c>
      <c r="N370" s="20" t="str">
        <f>IF(OR(LEFT('Web Links'!$C370,2)="In",$C370="Error"),"?????",""&amp;C370)</f>
        <v>?????</v>
      </c>
      <c r="O370" s="20" t="str">
        <f>IF(OR(LEFT('Web Links'!$C370,2)="In",$C370="Error"),"??????????",""&amp;D370)</f>
        <v>??????????</v>
      </c>
      <c r="P370" s="20" t="str">
        <f>IF(OR(LEFT('Web Links'!$C370,2)="In",$C370="Error"),"???",IF(LEN(E370)=2,"0",IF(LEN(E370)=1,"00","")))&amp;'Web Links'!E370</f>
        <v>???</v>
      </c>
      <c r="Q370" s="20" t="str">
        <f>IF(OR(LEFT('Web Links'!$C370,2)="In",$C370="Error"),"?????",IF(LEN(G370)=4,"",IF(LEN(G370)=3,"",IF(LEN(G370)=2,"",IF(LEN(G370)=1,"",""))))&amp;'Web Links'!G370)</f>
        <v>?????</v>
      </c>
      <c r="R370" s="20" t="str">
        <f>IF(OR(LEFT('Web Links'!$C370,2)="In",$C370="Error"),"???????????????",""&amp;F370)</f>
        <v>???????????????</v>
      </c>
    </row>
    <row r="371" spans="1:18" x14ac:dyDescent="0.2">
      <c r="A371" s="20">
        <f>IF('GL Template'!B385&lt;&gt;"",'GL Template'!B385,0)</f>
        <v>0</v>
      </c>
      <c r="B371" s="20">
        <f>IF('GL Template'!D385&lt;&gt;"",'GL Template'!D385,0)</f>
        <v>0</v>
      </c>
      <c r="C371" s="20" t="s">
        <v>95</v>
      </c>
      <c r="N371" s="20" t="str">
        <f>IF(OR(LEFT('Web Links'!$C371,2)="In",$C371="Error"),"?????",""&amp;C371)</f>
        <v>?????</v>
      </c>
      <c r="O371" s="20" t="str">
        <f>IF(OR(LEFT('Web Links'!$C371,2)="In",$C371="Error"),"??????????",""&amp;D371)</f>
        <v>??????????</v>
      </c>
      <c r="P371" s="20" t="str">
        <f>IF(OR(LEFT('Web Links'!$C371,2)="In",$C371="Error"),"???",IF(LEN(E371)=2,"0",IF(LEN(E371)=1,"00","")))&amp;'Web Links'!E371</f>
        <v>???</v>
      </c>
      <c r="Q371" s="20" t="str">
        <f>IF(OR(LEFT('Web Links'!$C371,2)="In",$C371="Error"),"?????",IF(LEN(G371)=4,"",IF(LEN(G371)=3,"",IF(LEN(G371)=2,"",IF(LEN(G371)=1,"",""))))&amp;'Web Links'!G371)</f>
        <v>?????</v>
      </c>
      <c r="R371" s="20" t="str">
        <f>IF(OR(LEFT('Web Links'!$C371,2)="In",$C371="Error"),"???????????????",""&amp;F371)</f>
        <v>???????????????</v>
      </c>
    </row>
    <row r="372" spans="1:18" x14ac:dyDescent="0.2">
      <c r="A372" s="20">
        <f>IF('GL Template'!B386&lt;&gt;"",'GL Template'!B386,0)</f>
        <v>0</v>
      </c>
      <c r="B372" s="20">
        <f>IF('GL Template'!D386&lt;&gt;"",'GL Template'!D386,0)</f>
        <v>0</v>
      </c>
      <c r="C372" s="20" t="s">
        <v>95</v>
      </c>
      <c r="N372" s="20" t="str">
        <f>IF(OR(LEFT('Web Links'!$C372,2)="In",$C372="Error"),"?????",""&amp;C372)</f>
        <v>?????</v>
      </c>
      <c r="O372" s="20" t="str">
        <f>IF(OR(LEFT('Web Links'!$C372,2)="In",$C372="Error"),"??????????",""&amp;D372)</f>
        <v>??????????</v>
      </c>
      <c r="P372" s="20" t="str">
        <f>IF(OR(LEFT('Web Links'!$C372,2)="In",$C372="Error"),"???",IF(LEN(E372)=2,"0",IF(LEN(E372)=1,"00","")))&amp;'Web Links'!E372</f>
        <v>???</v>
      </c>
      <c r="Q372" s="20" t="str">
        <f>IF(OR(LEFT('Web Links'!$C372,2)="In",$C372="Error"),"?????",IF(LEN(G372)=4,"",IF(LEN(G372)=3,"",IF(LEN(G372)=2,"",IF(LEN(G372)=1,"",""))))&amp;'Web Links'!G372)</f>
        <v>?????</v>
      </c>
      <c r="R372" s="20" t="str">
        <f>IF(OR(LEFT('Web Links'!$C372,2)="In",$C372="Error"),"???????????????",""&amp;F372)</f>
        <v>???????????????</v>
      </c>
    </row>
    <row r="373" spans="1:18" x14ac:dyDescent="0.2">
      <c r="A373" s="20">
        <f>IF('GL Template'!B387&lt;&gt;"",'GL Template'!B387,0)</f>
        <v>0</v>
      </c>
      <c r="B373" s="20">
        <f>IF('GL Template'!D387&lt;&gt;"",'GL Template'!D387,0)</f>
        <v>0</v>
      </c>
      <c r="C373" s="20" t="s">
        <v>95</v>
      </c>
      <c r="N373" s="20" t="str">
        <f>IF(OR(LEFT('Web Links'!$C373,2)="In",$C373="Error"),"?????",""&amp;C373)</f>
        <v>?????</v>
      </c>
      <c r="O373" s="20" t="str">
        <f>IF(OR(LEFT('Web Links'!$C373,2)="In",$C373="Error"),"??????????",""&amp;D373)</f>
        <v>??????????</v>
      </c>
      <c r="P373" s="20" t="str">
        <f>IF(OR(LEFT('Web Links'!$C373,2)="In",$C373="Error"),"???",IF(LEN(E373)=2,"0",IF(LEN(E373)=1,"00","")))&amp;'Web Links'!E373</f>
        <v>???</v>
      </c>
      <c r="Q373" s="20" t="str">
        <f>IF(OR(LEFT('Web Links'!$C373,2)="In",$C373="Error"),"?????",IF(LEN(G373)=4,"",IF(LEN(G373)=3,"",IF(LEN(G373)=2,"",IF(LEN(G373)=1,"",""))))&amp;'Web Links'!G373)</f>
        <v>?????</v>
      </c>
      <c r="R373" s="20" t="str">
        <f>IF(OR(LEFT('Web Links'!$C373,2)="In",$C373="Error"),"???????????????",""&amp;F373)</f>
        <v>???????????????</v>
      </c>
    </row>
    <row r="374" spans="1:18" x14ac:dyDescent="0.2">
      <c r="A374" s="20">
        <f>IF('GL Template'!B388&lt;&gt;"",'GL Template'!B388,0)</f>
        <v>0</v>
      </c>
      <c r="B374" s="20">
        <f>IF('GL Template'!D388&lt;&gt;"",'GL Template'!D388,0)</f>
        <v>0</v>
      </c>
      <c r="C374" s="20" t="s">
        <v>95</v>
      </c>
      <c r="N374" s="20" t="str">
        <f>IF(OR(LEFT('Web Links'!$C374,2)="In",$C374="Error"),"?????",""&amp;C374)</f>
        <v>?????</v>
      </c>
      <c r="O374" s="20" t="str">
        <f>IF(OR(LEFT('Web Links'!$C374,2)="In",$C374="Error"),"??????????",""&amp;D374)</f>
        <v>??????????</v>
      </c>
      <c r="P374" s="20" t="str">
        <f>IF(OR(LEFT('Web Links'!$C374,2)="In",$C374="Error"),"???",IF(LEN(E374)=2,"0",IF(LEN(E374)=1,"00","")))&amp;'Web Links'!E374</f>
        <v>???</v>
      </c>
      <c r="Q374" s="20" t="str">
        <f>IF(OR(LEFT('Web Links'!$C374,2)="In",$C374="Error"),"?????",IF(LEN(G374)=4,"",IF(LEN(G374)=3,"",IF(LEN(G374)=2,"",IF(LEN(G374)=1,"",""))))&amp;'Web Links'!G374)</f>
        <v>?????</v>
      </c>
      <c r="R374" s="20" t="str">
        <f>IF(OR(LEFT('Web Links'!$C374,2)="In",$C374="Error"),"???????????????",""&amp;F374)</f>
        <v>???????????????</v>
      </c>
    </row>
    <row r="375" spans="1:18" x14ac:dyDescent="0.2">
      <c r="A375" s="20">
        <f>IF('GL Template'!B389&lt;&gt;"",'GL Template'!B389,0)</f>
        <v>0</v>
      </c>
      <c r="B375" s="20">
        <f>IF('GL Template'!D389&lt;&gt;"",'GL Template'!D389,0)</f>
        <v>0</v>
      </c>
      <c r="C375" s="20" t="s">
        <v>95</v>
      </c>
      <c r="N375" s="20" t="str">
        <f>IF(OR(LEFT('Web Links'!$C375,2)="In",$C375="Error"),"?????",""&amp;C375)</f>
        <v>?????</v>
      </c>
      <c r="O375" s="20" t="str">
        <f>IF(OR(LEFT('Web Links'!$C375,2)="In",$C375="Error"),"??????????",""&amp;D375)</f>
        <v>??????????</v>
      </c>
      <c r="P375" s="20" t="str">
        <f>IF(OR(LEFT('Web Links'!$C375,2)="In",$C375="Error"),"???",IF(LEN(E375)=2,"0",IF(LEN(E375)=1,"00","")))&amp;'Web Links'!E375</f>
        <v>???</v>
      </c>
      <c r="Q375" s="20" t="str">
        <f>IF(OR(LEFT('Web Links'!$C375,2)="In",$C375="Error"),"?????",IF(LEN(G375)=4,"",IF(LEN(G375)=3,"",IF(LEN(G375)=2,"",IF(LEN(G375)=1,"",""))))&amp;'Web Links'!G375)</f>
        <v>?????</v>
      </c>
      <c r="R375" s="20" t="str">
        <f>IF(OR(LEFT('Web Links'!$C375,2)="In",$C375="Error"),"???????????????",""&amp;F375)</f>
        <v>???????????????</v>
      </c>
    </row>
    <row r="376" spans="1:18" x14ac:dyDescent="0.2">
      <c r="A376" s="20">
        <f>IF('GL Template'!B390&lt;&gt;"",'GL Template'!B390,0)</f>
        <v>0</v>
      </c>
      <c r="B376" s="20">
        <f>IF('GL Template'!D390&lt;&gt;"",'GL Template'!D390,0)</f>
        <v>0</v>
      </c>
      <c r="C376" s="20" t="s">
        <v>95</v>
      </c>
      <c r="N376" s="20" t="str">
        <f>IF(OR(LEFT('Web Links'!$C376,2)="In",$C376="Error"),"?????",""&amp;C376)</f>
        <v>?????</v>
      </c>
      <c r="O376" s="20" t="str">
        <f>IF(OR(LEFT('Web Links'!$C376,2)="In",$C376="Error"),"??????????",""&amp;D376)</f>
        <v>??????????</v>
      </c>
      <c r="P376" s="20" t="str">
        <f>IF(OR(LEFT('Web Links'!$C376,2)="In",$C376="Error"),"???",IF(LEN(E376)=2,"0",IF(LEN(E376)=1,"00","")))&amp;'Web Links'!E376</f>
        <v>???</v>
      </c>
      <c r="Q376" s="20" t="str">
        <f>IF(OR(LEFT('Web Links'!$C376,2)="In",$C376="Error"),"?????",IF(LEN(G376)=4,"",IF(LEN(G376)=3,"",IF(LEN(G376)=2,"",IF(LEN(G376)=1,"",""))))&amp;'Web Links'!G376)</f>
        <v>?????</v>
      </c>
      <c r="R376" s="20" t="str">
        <f>IF(OR(LEFT('Web Links'!$C376,2)="In",$C376="Error"),"???????????????",""&amp;F376)</f>
        <v>???????????????</v>
      </c>
    </row>
    <row r="377" spans="1:18" x14ac:dyDescent="0.2">
      <c r="A377" s="20">
        <f>IF('GL Template'!B391&lt;&gt;"",'GL Template'!B391,0)</f>
        <v>0</v>
      </c>
      <c r="B377" s="20">
        <f>IF('GL Template'!D391&lt;&gt;"",'GL Template'!D391,0)</f>
        <v>0</v>
      </c>
      <c r="C377" s="20" t="s">
        <v>95</v>
      </c>
      <c r="N377" s="20" t="str">
        <f>IF(OR(LEFT('Web Links'!$C377,2)="In",$C377="Error"),"?????",""&amp;C377)</f>
        <v>?????</v>
      </c>
      <c r="O377" s="20" t="str">
        <f>IF(OR(LEFT('Web Links'!$C377,2)="In",$C377="Error"),"??????????",""&amp;D377)</f>
        <v>??????????</v>
      </c>
      <c r="P377" s="20" t="str">
        <f>IF(OR(LEFT('Web Links'!$C377,2)="In",$C377="Error"),"???",IF(LEN(E377)=2,"0",IF(LEN(E377)=1,"00","")))&amp;'Web Links'!E377</f>
        <v>???</v>
      </c>
      <c r="Q377" s="20" t="str">
        <f>IF(OR(LEFT('Web Links'!$C377,2)="In",$C377="Error"),"?????",IF(LEN(G377)=4,"",IF(LEN(G377)=3,"",IF(LEN(G377)=2,"",IF(LEN(G377)=1,"",""))))&amp;'Web Links'!G377)</f>
        <v>?????</v>
      </c>
      <c r="R377" s="20" t="str">
        <f>IF(OR(LEFT('Web Links'!$C377,2)="In",$C377="Error"),"???????????????",""&amp;F377)</f>
        <v>???????????????</v>
      </c>
    </row>
    <row r="378" spans="1:18" x14ac:dyDescent="0.2">
      <c r="A378" s="20">
        <f>IF('GL Template'!B392&lt;&gt;"",'GL Template'!B392,0)</f>
        <v>0</v>
      </c>
      <c r="B378" s="20">
        <f>IF('GL Template'!D392&lt;&gt;"",'GL Template'!D392,0)</f>
        <v>0</v>
      </c>
      <c r="C378" s="20" t="s">
        <v>95</v>
      </c>
      <c r="N378" s="20" t="str">
        <f>IF(OR(LEFT('Web Links'!$C378,2)="In",$C378="Error"),"?????",""&amp;C378)</f>
        <v>?????</v>
      </c>
      <c r="O378" s="20" t="str">
        <f>IF(OR(LEFT('Web Links'!$C378,2)="In",$C378="Error"),"??????????",""&amp;D378)</f>
        <v>??????????</v>
      </c>
      <c r="P378" s="20" t="str">
        <f>IF(OR(LEFT('Web Links'!$C378,2)="In",$C378="Error"),"???",IF(LEN(E378)=2,"0",IF(LEN(E378)=1,"00","")))&amp;'Web Links'!E378</f>
        <v>???</v>
      </c>
      <c r="Q378" s="20" t="str">
        <f>IF(OR(LEFT('Web Links'!$C378,2)="In",$C378="Error"),"?????",IF(LEN(G378)=4,"",IF(LEN(G378)=3,"",IF(LEN(G378)=2,"",IF(LEN(G378)=1,"",""))))&amp;'Web Links'!G378)</f>
        <v>?????</v>
      </c>
      <c r="R378" s="20" t="str">
        <f>IF(OR(LEFT('Web Links'!$C378,2)="In",$C378="Error"),"???????????????",""&amp;F378)</f>
        <v>???????????????</v>
      </c>
    </row>
    <row r="379" spans="1:18" x14ac:dyDescent="0.2">
      <c r="A379" s="20">
        <f>IF('GL Template'!B393&lt;&gt;"",'GL Template'!B393,0)</f>
        <v>0</v>
      </c>
      <c r="B379" s="20">
        <f>IF('GL Template'!D393&lt;&gt;"",'GL Template'!D393,0)</f>
        <v>0</v>
      </c>
      <c r="C379" s="20" t="s">
        <v>95</v>
      </c>
      <c r="N379" s="20" t="str">
        <f>IF(OR(LEFT('Web Links'!$C379,2)="In",$C379="Error"),"?????",""&amp;C379)</f>
        <v>?????</v>
      </c>
      <c r="O379" s="20" t="str">
        <f>IF(OR(LEFT('Web Links'!$C379,2)="In",$C379="Error"),"??????????",""&amp;D379)</f>
        <v>??????????</v>
      </c>
      <c r="P379" s="20" t="str">
        <f>IF(OR(LEFT('Web Links'!$C379,2)="In",$C379="Error"),"???",IF(LEN(E379)=2,"0",IF(LEN(E379)=1,"00","")))&amp;'Web Links'!E379</f>
        <v>???</v>
      </c>
      <c r="Q379" s="20" t="str">
        <f>IF(OR(LEFT('Web Links'!$C379,2)="In",$C379="Error"),"?????",IF(LEN(G379)=4,"",IF(LEN(G379)=3,"",IF(LEN(G379)=2,"",IF(LEN(G379)=1,"",""))))&amp;'Web Links'!G379)</f>
        <v>?????</v>
      </c>
      <c r="R379" s="20" t="str">
        <f>IF(OR(LEFT('Web Links'!$C379,2)="In",$C379="Error"),"???????????????",""&amp;F379)</f>
        <v>???????????????</v>
      </c>
    </row>
    <row r="380" spans="1:18" x14ac:dyDescent="0.2">
      <c r="A380" s="20">
        <f>IF('GL Template'!B394&lt;&gt;"",'GL Template'!B394,0)</f>
        <v>0</v>
      </c>
      <c r="B380" s="20">
        <f>IF('GL Template'!D394&lt;&gt;"",'GL Template'!D394,0)</f>
        <v>0</v>
      </c>
      <c r="C380" s="20" t="s">
        <v>95</v>
      </c>
      <c r="N380" s="20" t="str">
        <f>IF(OR(LEFT('Web Links'!$C380,2)="In",$C380="Error"),"?????",""&amp;C380)</f>
        <v>?????</v>
      </c>
      <c r="O380" s="20" t="str">
        <f>IF(OR(LEFT('Web Links'!$C380,2)="In",$C380="Error"),"??????????",""&amp;D380)</f>
        <v>??????????</v>
      </c>
      <c r="P380" s="20" t="str">
        <f>IF(OR(LEFT('Web Links'!$C380,2)="In",$C380="Error"),"???",IF(LEN(E380)=2,"0",IF(LEN(E380)=1,"00","")))&amp;'Web Links'!E380</f>
        <v>???</v>
      </c>
      <c r="Q380" s="20" t="str">
        <f>IF(OR(LEFT('Web Links'!$C380,2)="In",$C380="Error"),"?????",IF(LEN(G380)=4,"",IF(LEN(G380)=3,"",IF(LEN(G380)=2,"",IF(LEN(G380)=1,"",""))))&amp;'Web Links'!G380)</f>
        <v>?????</v>
      </c>
      <c r="R380" s="20" t="str">
        <f>IF(OR(LEFT('Web Links'!$C380,2)="In",$C380="Error"),"???????????????",""&amp;F380)</f>
        <v>???????????????</v>
      </c>
    </row>
    <row r="381" spans="1:18" x14ac:dyDescent="0.2">
      <c r="A381" s="20">
        <f>IF('GL Template'!B395&lt;&gt;"",'GL Template'!B395,0)</f>
        <v>0</v>
      </c>
      <c r="B381" s="20">
        <f>IF('GL Template'!D395&lt;&gt;"",'GL Template'!D395,0)</f>
        <v>0</v>
      </c>
      <c r="C381" s="20" t="s">
        <v>95</v>
      </c>
      <c r="N381" s="20" t="str">
        <f>IF(OR(LEFT('Web Links'!$C381,2)="In",$C381="Error"),"?????",""&amp;C381)</f>
        <v>?????</v>
      </c>
      <c r="O381" s="20" t="str">
        <f>IF(OR(LEFT('Web Links'!$C381,2)="In",$C381="Error"),"??????????",""&amp;D381)</f>
        <v>??????????</v>
      </c>
      <c r="P381" s="20" t="str">
        <f>IF(OR(LEFT('Web Links'!$C381,2)="In",$C381="Error"),"???",IF(LEN(E381)=2,"0",IF(LEN(E381)=1,"00","")))&amp;'Web Links'!E381</f>
        <v>???</v>
      </c>
      <c r="Q381" s="20" t="str">
        <f>IF(OR(LEFT('Web Links'!$C381,2)="In",$C381="Error"),"?????",IF(LEN(G381)=4,"",IF(LEN(G381)=3,"",IF(LEN(G381)=2,"",IF(LEN(G381)=1,"",""))))&amp;'Web Links'!G381)</f>
        <v>?????</v>
      </c>
      <c r="R381" s="20" t="str">
        <f>IF(OR(LEFT('Web Links'!$C381,2)="In",$C381="Error"),"???????????????",""&amp;F381)</f>
        <v>???????????????</v>
      </c>
    </row>
    <row r="382" spans="1:18" x14ac:dyDescent="0.2">
      <c r="A382" s="20">
        <f>IF('GL Template'!B396&lt;&gt;"",'GL Template'!B396,0)</f>
        <v>0</v>
      </c>
      <c r="B382" s="20">
        <f>IF('GL Template'!D396&lt;&gt;"",'GL Template'!D396,0)</f>
        <v>0</v>
      </c>
      <c r="C382" s="20" t="s">
        <v>95</v>
      </c>
      <c r="N382" s="20" t="str">
        <f>IF(OR(LEFT('Web Links'!$C382,2)="In",$C382="Error"),"?????",""&amp;C382)</f>
        <v>?????</v>
      </c>
      <c r="O382" s="20" t="str">
        <f>IF(OR(LEFT('Web Links'!$C382,2)="In",$C382="Error"),"??????????",""&amp;D382)</f>
        <v>??????????</v>
      </c>
      <c r="P382" s="20" t="str">
        <f>IF(OR(LEFT('Web Links'!$C382,2)="In",$C382="Error"),"???",IF(LEN(E382)=2,"0",IF(LEN(E382)=1,"00","")))&amp;'Web Links'!E382</f>
        <v>???</v>
      </c>
      <c r="Q382" s="20" t="str">
        <f>IF(OR(LEFT('Web Links'!$C382,2)="In",$C382="Error"),"?????",IF(LEN(G382)=4,"",IF(LEN(G382)=3,"",IF(LEN(G382)=2,"",IF(LEN(G382)=1,"",""))))&amp;'Web Links'!G382)</f>
        <v>?????</v>
      </c>
      <c r="R382" s="20" t="str">
        <f>IF(OR(LEFT('Web Links'!$C382,2)="In",$C382="Error"),"???????????????",""&amp;F382)</f>
        <v>???????????????</v>
      </c>
    </row>
    <row r="383" spans="1:18" x14ac:dyDescent="0.2">
      <c r="A383" s="20">
        <f>IF('GL Template'!B397&lt;&gt;"",'GL Template'!B397,0)</f>
        <v>0</v>
      </c>
      <c r="B383" s="20">
        <f>IF('GL Template'!D397&lt;&gt;"",'GL Template'!D397,0)</f>
        <v>0</v>
      </c>
      <c r="C383" s="20" t="s">
        <v>95</v>
      </c>
      <c r="N383" s="20" t="str">
        <f>IF(OR(LEFT('Web Links'!$C383,2)="In",$C383="Error"),"?????",""&amp;C383)</f>
        <v>?????</v>
      </c>
      <c r="O383" s="20" t="str">
        <f>IF(OR(LEFT('Web Links'!$C383,2)="In",$C383="Error"),"??????????",""&amp;D383)</f>
        <v>??????????</v>
      </c>
      <c r="P383" s="20" t="str">
        <f>IF(OR(LEFT('Web Links'!$C383,2)="In",$C383="Error"),"???",IF(LEN(E383)=2,"0",IF(LEN(E383)=1,"00","")))&amp;'Web Links'!E383</f>
        <v>???</v>
      </c>
      <c r="Q383" s="20" t="str">
        <f>IF(OR(LEFT('Web Links'!$C383,2)="In",$C383="Error"),"?????",IF(LEN(G383)=4,"",IF(LEN(G383)=3,"",IF(LEN(G383)=2,"",IF(LEN(G383)=1,"",""))))&amp;'Web Links'!G383)</f>
        <v>?????</v>
      </c>
      <c r="R383" s="20" t="str">
        <f>IF(OR(LEFT('Web Links'!$C383,2)="In",$C383="Error"),"???????????????",""&amp;F383)</f>
        <v>???????????????</v>
      </c>
    </row>
    <row r="384" spans="1:18" x14ac:dyDescent="0.2">
      <c r="A384" s="20">
        <f>IF('GL Template'!B398&lt;&gt;"",'GL Template'!B398,0)</f>
        <v>0</v>
      </c>
      <c r="B384" s="20">
        <f>IF('GL Template'!D398&lt;&gt;"",'GL Template'!D398,0)</f>
        <v>0</v>
      </c>
      <c r="C384" s="20" t="s">
        <v>95</v>
      </c>
      <c r="N384" s="20" t="str">
        <f>IF(OR(LEFT('Web Links'!$C384,2)="In",$C384="Error"),"?????",""&amp;C384)</f>
        <v>?????</v>
      </c>
      <c r="O384" s="20" t="str">
        <f>IF(OR(LEFT('Web Links'!$C384,2)="In",$C384="Error"),"??????????",""&amp;D384)</f>
        <v>??????????</v>
      </c>
      <c r="P384" s="20" t="str">
        <f>IF(OR(LEFT('Web Links'!$C384,2)="In",$C384="Error"),"???",IF(LEN(E384)=2,"0",IF(LEN(E384)=1,"00","")))&amp;'Web Links'!E384</f>
        <v>???</v>
      </c>
      <c r="Q384" s="20" t="str">
        <f>IF(OR(LEFT('Web Links'!$C384,2)="In",$C384="Error"),"?????",IF(LEN(G384)=4,"",IF(LEN(G384)=3,"",IF(LEN(G384)=2,"",IF(LEN(G384)=1,"",""))))&amp;'Web Links'!G384)</f>
        <v>?????</v>
      </c>
      <c r="R384" s="20" t="str">
        <f>IF(OR(LEFT('Web Links'!$C384,2)="In",$C384="Error"),"???????????????",""&amp;F384)</f>
        <v>???????????????</v>
      </c>
    </row>
    <row r="385" spans="1:18" x14ac:dyDescent="0.2">
      <c r="A385" s="20">
        <f>IF('GL Template'!B399&lt;&gt;"",'GL Template'!B399,0)</f>
        <v>0</v>
      </c>
      <c r="B385" s="20">
        <f>IF('GL Template'!D399&lt;&gt;"",'GL Template'!D399,0)</f>
        <v>0</v>
      </c>
      <c r="C385" s="20" t="s">
        <v>95</v>
      </c>
      <c r="N385" s="20" t="str">
        <f>IF(OR(LEFT('Web Links'!$C385,2)="In",$C385="Error"),"?????",""&amp;C385)</f>
        <v>?????</v>
      </c>
      <c r="O385" s="20" t="str">
        <f>IF(OR(LEFT('Web Links'!$C385,2)="In",$C385="Error"),"??????????",""&amp;D385)</f>
        <v>??????????</v>
      </c>
      <c r="P385" s="20" t="str">
        <f>IF(OR(LEFT('Web Links'!$C385,2)="In",$C385="Error"),"???",IF(LEN(E385)=2,"0",IF(LEN(E385)=1,"00","")))&amp;'Web Links'!E385</f>
        <v>???</v>
      </c>
      <c r="Q385" s="20" t="str">
        <f>IF(OR(LEFT('Web Links'!$C385,2)="In",$C385="Error"),"?????",IF(LEN(G385)=4,"",IF(LEN(G385)=3,"",IF(LEN(G385)=2,"",IF(LEN(G385)=1,"",""))))&amp;'Web Links'!G385)</f>
        <v>?????</v>
      </c>
      <c r="R385" s="20" t="str">
        <f>IF(OR(LEFT('Web Links'!$C385,2)="In",$C385="Error"),"???????????????",""&amp;F385)</f>
        <v>???????????????</v>
      </c>
    </row>
    <row r="386" spans="1:18" x14ac:dyDescent="0.2">
      <c r="A386" s="20">
        <f>IF('GL Template'!B400&lt;&gt;"",'GL Template'!B400,0)</f>
        <v>0</v>
      </c>
      <c r="B386" s="20">
        <f>IF('GL Template'!D400&lt;&gt;"",'GL Template'!D400,0)</f>
        <v>0</v>
      </c>
      <c r="C386" s="20" t="s">
        <v>95</v>
      </c>
      <c r="N386" s="20" t="str">
        <f>IF(OR(LEFT('Web Links'!$C386,2)="In",$C386="Error"),"?????",""&amp;C386)</f>
        <v>?????</v>
      </c>
      <c r="O386" s="20" t="str">
        <f>IF(OR(LEFT('Web Links'!$C386,2)="In",$C386="Error"),"??????????",""&amp;D386)</f>
        <v>??????????</v>
      </c>
      <c r="P386" s="20" t="str">
        <f>IF(OR(LEFT('Web Links'!$C386,2)="In",$C386="Error"),"???",IF(LEN(E386)=2,"0",IF(LEN(E386)=1,"00","")))&amp;'Web Links'!E386</f>
        <v>???</v>
      </c>
      <c r="Q386" s="20" t="str">
        <f>IF(OR(LEFT('Web Links'!$C386,2)="In",$C386="Error"),"?????",IF(LEN(G386)=4,"",IF(LEN(G386)=3,"",IF(LEN(G386)=2,"",IF(LEN(G386)=1,"",""))))&amp;'Web Links'!G386)</f>
        <v>?????</v>
      </c>
      <c r="R386" s="20" t="str">
        <f>IF(OR(LEFT('Web Links'!$C386,2)="In",$C386="Error"),"???????????????",""&amp;F386)</f>
        <v>???????????????</v>
      </c>
    </row>
    <row r="387" spans="1:18" x14ac:dyDescent="0.2">
      <c r="A387" s="20">
        <f>IF('GL Template'!B401&lt;&gt;"",'GL Template'!B401,0)</f>
        <v>0</v>
      </c>
      <c r="B387" s="20">
        <f>IF('GL Template'!D401&lt;&gt;"",'GL Template'!D401,0)</f>
        <v>0</v>
      </c>
      <c r="C387" s="20" t="s">
        <v>95</v>
      </c>
      <c r="N387" s="20" t="str">
        <f>IF(OR(LEFT('Web Links'!$C387,2)="In",$C387="Error"),"?????",""&amp;C387)</f>
        <v>?????</v>
      </c>
      <c r="O387" s="20" t="str">
        <f>IF(OR(LEFT('Web Links'!$C387,2)="In",$C387="Error"),"??????????",""&amp;D387)</f>
        <v>??????????</v>
      </c>
      <c r="P387" s="20" t="str">
        <f>IF(OR(LEFT('Web Links'!$C387,2)="In",$C387="Error"),"???",IF(LEN(E387)=2,"0",IF(LEN(E387)=1,"00","")))&amp;'Web Links'!E387</f>
        <v>???</v>
      </c>
      <c r="Q387" s="20" t="str">
        <f>IF(OR(LEFT('Web Links'!$C387,2)="In",$C387="Error"),"?????",IF(LEN(G387)=4,"",IF(LEN(G387)=3,"",IF(LEN(G387)=2,"",IF(LEN(G387)=1,"",""))))&amp;'Web Links'!G387)</f>
        <v>?????</v>
      </c>
      <c r="R387" s="20" t="str">
        <f>IF(OR(LEFT('Web Links'!$C387,2)="In",$C387="Error"),"???????????????",""&amp;F387)</f>
        <v>???????????????</v>
      </c>
    </row>
    <row r="388" spans="1:18" x14ac:dyDescent="0.2">
      <c r="A388" s="20">
        <f>IF('GL Template'!B402&lt;&gt;"",'GL Template'!B402,0)</f>
        <v>0</v>
      </c>
      <c r="B388" s="20">
        <f>IF('GL Template'!D402&lt;&gt;"",'GL Template'!D402,0)</f>
        <v>0</v>
      </c>
      <c r="C388" s="20" t="s">
        <v>95</v>
      </c>
      <c r="N388" s="20" t="str">
        <f>IF(OR(LEFT('Web Links'!$C388,2)="In",$C388="Error"),"?????",""&amp;C388)</f>
        <v>?????</v>
      </c>
      <c r="O388" s="20" t="str">
        <f>IF(OR(LEFT('Web Links'!$C388,2)="In",$C388="Error"),"??????????",""&amp;D388)</f>
        <v>??????????</v>
      </c>
      <c r="P388" s="20" t="str">
        <f>IF(OR(LEFT('Web Links'!$C388,2)="In",$C388="Error"),"???",IF(LEN(E388)=2,"0",IF(LEN(E388)=1,"00","")))&amp;'Web Links'!E388</f>
        <v>???</v>
      </c>
      <c r="Q388" s="20" t="str">
        <f>IF(OR(LEFT('Web Links'!$C388,2)="In",$C388="Error"),"?????",IF(LEN(G388)=4,"",IF(LEN(G388)=3,"",IF(LEN(G388)=2,"",IF(LEN(G388)=1,"",""))))&amp;'Web Links'!G388)</f>
        <v>?????</v>
      </c>
      <c r="R388" s="20" t="str">
        <f>IF(OR(LEFT('Web Links'!$C388,2)="In",$C388="Error"),"???????????????",""&amp;F388)</f>
        <v>???????????????</v>
      </c>
    </row>
    <row r="389" spans="1:18" x14ac:dyDescent="0.2">
      <c r="A389" s="20">
        <f>IF('GL Template'!B403&lt;&gt;"",'GL Template'!B403,0)</f>
        <v>0</v>
      </c>
      <c r="B389" s="20">
        <f>IF('GL Template'!D403&lt;&gt;"",'GL Template'!D403,0)</f>
        <v>0</v>
      </c>
      <c r="C389" s="20" t="s">
        <v>95</v>
      </c>
      <c r="N389" s="20" t="str">
        <f>IF(OR(LEFT('Web Links'!$C389,2)="In",$C389="Error"),"?????",""&amp;C389)</f>
        <v>?????</v>
      </c>
      <c r="O389" s="20" t="str">
        <f>IF(OR(LEFT('Web Links'!$C389,2)="In",$C389="Error"),"??????????",""&amp;D389)</f>
        <v>??????????</v>
      </c>
      <c r="P389" s="20" t="str">
        <f>IF(OR(LEFT('Web Links'!$C389,2)="In",$C389="Error"),"???",IF(LEN(E389)=2,"0",IF(LEN(E389)=1,"00","")))&amp;'Web Links'!E389</f>
        <v>???</v>
      </c>
      <c r="Q389" s="20" t="str">
        <f>IF(OR(LEFT('Web Links'!$C389,2)="In",$C389="Error"),"?????",IF(LEN(G389)=4,"",IF(LEN(G389)=3,"",IF(LEN(G389)=2,"",IF(LEN(G389)=1,"",""))))&amp;'Web Links'!G389)</f>
        <v>?????</v>
      </c>
      <c r="R389" s="20" t="str">
        <f>IF(OR(LEFT('Web Links'!$C389,2)="In",$C389="Error"),"???????????????",""&amp;F389)</f>
        <v>???????????????</v>
      </c>
    </row>
    <row r="390" spans="1:18" x14ac:dyDescent="0.2">
      <c r="A390" s="20">
        <f>IF('GL Template'!B404&lt;&gt;"",'GL Template'!B404,0)</f>
        <v>0</v>
      </c>
      <c r="B390" s="20">
        <f>IF('GL Template'!D404&lt;&gt;"",'GL Template'!D404,0)</f>
        <v>0</v>
      </c>
      <c r="C390" s="20" t="s">
        <v>95</v>
      </c>
      <c r="N390" s="20" t="str">
        <f>IF(OR(LEFT('Web Links'!$C390,2)="In",$C390="Error"),"?????",""&amp;C390)</f>
        <v>?????</v>
      </c>
      <c r="O390" s="20" t="str">
        <f>IF(OR(LEFT('Web Links'!$C390,2)="In",$C390="Error"),"??????????",""&amp;D390)</f>
        <v>??????????</v>
      </c>
      <c r="P390" s="20" t="str">
        <f>IF(OR(LEFT('Web Links'!$C390,2)="In",$C390="Error"),"???",IF(LEN(E390)=2,"0",IF(LEN(E390)=1,"00","")))&amp;'Web Links'!E390</f>
        <v>???</v>
      </c>
      <c r="Q390" s="20" t="str">
        <f>IF(OR(LEFT('Web Links'!$C390,2)="In",$C390="Error"),"?????",IF(LEN(G390)=4,"",IF(LEN(G390)=3,"",IF(LEN(G390)=2,"",IF(LEN(G390)=1,"",""))))&amp;'Web Links'!G390)</f>
        <v>?????</v>
      </c>
      <c r="R390" s="20" t="str">
        <f>IF(OR(LEFT('Web Links'!$C390,2)="In",$C390="Error"),"???????????????",""&amp;F390)</f>
        <v>???????????????</v>
      </c>
    </row>
    <row r="391" spans="1:18" x14ac:dyDescent="0.2">
      <c r="A391" s="20">
        <f>IF('GL Template'!B405&lt;&gt;"",'GL Template'!B405,0)</f>
        <v>0</v>
      </c>
      <c r="B391" s="20">
        <f>IF('GL Template'!D405&lt;&gt;"",'GL Template'!D405,0)</f>
        <v>0</v>
      </c>
      <c r="C391" s="20" t="s">
        <v>95</v>
      </c>
      <c r="N391" s="20" t="str">
        <f>IF(OR(LEFT('Web Links'!$C391,2)="In",$C391="Error"),"?????",""&amp;C391)</f>
        <v>?????</v>
      </c>
      <c r="O391" s="20" t="str">
        <f>IF(OR(LEFT('Web Links'!$C391,2)="In",$C391="Error"),"??????????",""&amp;D391)</f>
        <v>??????????</v>
      </c>
      <c r="P391" s="20" t="str">
        <f>IF(OR(LEFT('Web Links'!$C391,2)="In",$C391="Error"),"???",IF(LEN(E391)=2,"0",IF(LEN(E391)=1,"00","")))&amp;'Web Links'!E391</f>
        <v>???</v>
      </c>
      <c r="Q391" s="20" t="str">
        <f>IF(OR(LEFT('Web Links'!$C391,2)="In",$C391="Error"),"?????",IF(LEN(G391)=4,"",IF(LEN(G391)=3,"",IF(LEN(G391)=2,"",IF(LEN(G391)=1,"",""))))&amp;'Web Links'!G391)</f>
        <v>?????</v>
      </c>
      <c r="R391" s="20" t="str">
        <f>IF(OR(LEFT('Web Links'!$C391,2)="In",$C391="Error"),"???????????????",""&amp;F391)</f>
        <v>???????????????</v>
      </c>
    </row>
    <row r="392" spans="1:18" x14ac:dyDescent="0.2">
      <c r="A392" s="20">
        <f>IF('GL Template'!B406&lt;&gt;"",'GL Template'!B406,0)</f>
        <v>0</v>
      </c>
      <c r="B392" s="20">
        <f>IF('GL Template'!D406&lt;&gt;"",'GL Template'!D406,0)</f>
        <v>0</v>
      </c>
      <c r="C392" s="20" t="s">
        <v>95</v>
      </c>
      <c r="N392" s="20" t="str">
        <f>IF(OR(LEFT('Web Links'!$C392,2)="In",$C392="Error"),"?????",""&amp;C392)</f>
        <v>?????</v>
      </c>
      <c r="O392" s="20" t="str">
        <f>IF(OR(LEFT('Web Links'!$C392,2)="In",$C392="Error"),"??????????",""&amp;D392)</f>
        <v>??????????</v>
      </c>
      <c r="P392" s="20" t="str">
        <f>IF(OR(LEFT('Web Links'!$C392,2)="In",$C392="Error"),"???",IF(LEN(E392)=2,"0",IF(LEN(E392)=1,"00","")))&amp;'Web Links'!E392</f>
        <v>???</v>
      </c>
      <c r="Q392" s="20" t="str">
        <f>IF(OR(LEFT('Web Links'!$C392,2)="In",$C392="Error"),"?????",IF(LEN(G392)=4,"",IF(LEN(G392)=3,"",IF(LEN(G392)=2,"",IF(LEN(G392)=1,"",""))))&amp;'Web Links'!G392)</f>
        <v>?????</v>
      </c>
      <c r="R392" s="20" t="str">
        <f>IF(OR(LEFT('Web Links'!$C392,2)="In",$C392="Error"),"???????????????",""&amp;F392)</f>
        <v>???????????????</v>
      </c>
    </row>
    <row r="393" spans="1:18" x14ac:dyDescent="0.2">
      <c r="A393" s="20">
        <f>IF('GL Template'!B407&lt;&gt;"",'GL Template'!B407,0)</f>
        <v>0</v>
      </c>
      <c r="B393" s="20">
        <f>IF('GL Template'!D407&lt;&gt;"",'GL Template'!D407,0)</f>
        <v>0</v>
      </c>
      <c r="C393" s="20" t="s">
        <v>95</v>
      </c>
      <c r="N393" s="20" t="str">
        <f>IF(OR(LEFT('Web Links'!$C393,2)="In",$C393="Error"),"?????",""&amp;C393)</f>
        <v>?????</v>
      </c>
      <c r="O393" s="20" t="str">
        <f>IF(OR(LEFT('Web Links'!$C393,2)="In",$C393="Error"),"??????????",""&amp;D393)</f>
        <v>??????????</v>
      </c>
      <c r="P393" s="20" t="str">
        <f>IF(OR(LEFT('Web Links'!$C393,2)="In",$C393="Error"),"???",IF(LEN(E393)=2,"0",IF(LEN(E393)=1,"00","")))&amp;'Web Links'!E393</f>
        <v>???</v>
      </c>
      <c r="Q393" s="20" t="str">
        <f>IF(OR(LEFT('Web Links'!$C393,2)="In",$C393="Error"),"?????",IF(LEN(G393)=4,"",IF(LEN(G393)=3,"",IF(LEN(G393)=2,"",IF(LEN(G393)=1,"",""))))&amp;'Web Links'!G393)</f>
        <v>?????</v>
      </c>
      <c r="R393" s="20" t="str">
        <f>IF(OR(LEFT('Web Links'!$C393,2)="In",$C393="Error"),"???????????????",""&amp;F393)</f>
        <v>???????????????</v>
      </c>
    </row>
    <row r="394" spans="1:18" x14ac:dyDescent="0.2">
      <c r="A394" s="20">
        <f>IF('GL Template'!B408&lt;&gt;"",'GL Template'!B408,0)</f>
        <v>0</v>
      </c>
      <c r="B394" s="20">
        <f>IF('GL Template'!D408&lt;&gt;"",'GL Template'!D408,0)</f>
        <v>0</v>
      </c>
      <c r="C394" s="20" t="s">
        <v>95</v>
      </c>
      <c r="N394" s="20" t="str">
        <f>IF(OR(LEFT('Web Links'!$C394,2)="In",$C394="Error"),"?????",""&amp;C394)</f>
        <v>?????</v>
      </c>
      <c r="O394" s="20" t="str">
        <f>IF(OR(LEFT('Web Links'!$C394,2)="In",$C394="Error"),"??????????",""&amp;D394)</f>
        <v>??????????</v>
      </c>
      <c r="P394" s="20" t="str">
        <f>IF(OR(LEFT('Web Links'!$C394,2)="In",$C394="Error"),"???",IF(LEN(E394)=2,"0",IF(LEN(E394)=1,"00","")))&amp;'Web Links'!E394</f>
        <v>???</v>
      </c>
      <c r="Q394" s="20" t="str">
        <f>IF(OR(LEFT('Web Links'!$C394,2)="In",$C394="Error"),"?????",IF(LEN(G394)=4,"",IF(LEN(G394)=3,"",IF(LEN(G394)=2,"",IF(LEN(G394)=1,"",""))))&amp;'Web Links'!G394)</f>
        <v>?????</v>
      </c>
      <c r="R394" s="20" t="str">
        <f>IF(OR(LEFT('Web Links'!$C394,2)="In",$C394="Error"),"???????????????",""&amp;F394)</f>
        <v>???????????????</v>
      </c>
    </row>
    <row r="395" spans="1:18" x14ac:dyDescent="0.2">
      <c r="A395" s="20">
        <f>IF('GL Template'!B409&lt;&gt;"",'GL Template'!B409,0)</f>
        <v>0</v>
      </c>
      <c r="B395" s="20">
        <f>IF('GL Template'!D409&lt;&gt;"",'GL Template'!D409,0)</f>
        <v>0</v>
      </c>
      <c r="C395" s="20" t="s">
        <v>95</v>
      </c>
      <c r="N395" s="20" t="str">
        <f>IF(OR(LEFT('Web Links'!$C395,2)="In",$C395="Error"),"?????",""&amp;C395)</f>
        <v>?????</v>
      </c>
      <c r="O395" s="20" t="str">
        <f>IF(OR(LEFT('Web Links'!$C395,2)="In",$C395="Error"),"??????????",""&amp;D395)</f>
        <v>??????????</v>
      </c>
      <c r="P395" s="20" t="str">
        <f>IF(OR(LEFT('Web Links'!$C395,2)="In",$C395="Error"),"???",IF(LEN(E395)=2,"0",IF(LEN(E395)=1,"00","")))&amp;'Web Links'!E395</f>
        <v>???</v>
      </c>
      <c r="Q395" s="20" t="str">
        <f>IF(OR(LEFT('Web Links'!$C395,2)="In",$C395="Error"),"?????",IF(LEN(G395)=4,"",IF(LEN(G395)=3,"",IF(LEN(G395)=2,"",IF(LEN(G395)=1,"",""))))&amp;'Web Links'!G395)</f>
        <v>?????</v>
      </c>
      <c r="R395" s="20" t="str">
        <f>IF(OR(LEFT('Web Links'!$C395,2)="In",$C395="Error"),"???????????????",""&amp;F395)</f>
        <v>???????????????</v>
      </c>
    </row>
    <row r="396" spans="1:18" x14ac:dyDescent="0.2">
      <c r="A396" s="20">
        <f>IF('GL Template'!B410&lt;&gt;"",'GL Template'!B410,0)</f>
        <v>0</v>
      </c>
      <c r="B396" s="20">
        <f>IF('GL Template'!D410&lt;&gt;"",'GL Template'!D410,0)</f>
        <v>0</v>
      </c>
      <c r="C396" s="20" t="s">
        <v>95</v>
      </c>
      <c r="N396" s="20" t="str">
        <f>IF(OR(LEFT('Web Links'!$C396,2)="In",$C396="Error"),"?????",""&amp;C396)</f>
        <v>?????</v>
      </c>
      <c r="O396" s="20" t="str">
        <f>IF(OR(LEFT('Web Links'!$C396,2)="In",$C396="Error"),"??????????",""&amp;D396)</f>
        <v>??????????</v>
      </c>
      <c r="P396" s="20" t="str">
        <f>IF(OR(LEFT('Web Links'!$C396,2)="In",$C396="Error"),"???",IF(LEN(E396)=2,"0",IF(LEN(E396)=1,"00","")))&amp;'Web Links'!E396</f>
        <v>???</v>
      </c>
      <c r="Q396" s="20" t="str">
        <f>IF(OR(LEFT('Web Links'!$C396,2)="In",$C396="Error"),"?????",IF(LEN(G396)=4,"",IF(LEN(G396)=3,"",IF(LEN(G396)=2,"",IF(LEN(G396)=1,"",""))))&amp;'Web Links'!G396)</f>
        <v>?????</v>
      </c>
      <c r="R396" s="20" t="str">
        <f>IF(OR(LEFT('Web Links'!$C396,2)="In",$C396="Error"),"???????????????",""&amp;F396)</f>
        <v>???????????????</v>
      </c>
    </row>
    <row r="397" spans="1:18" x14ac:dyDescent="0.2">
      <c r="A397" s="20">
        <f>IF('GL Template'!B411&lt;&gt;"",'GL Template'!B411,0)</f>
        <v>0</v>
      </c>
      <c r="B397" s="20">
        <f>IF('GL Template'!D411&lt;&gt;"",'GL Template'!D411,0)</f>
        <v>0</v>
      </c>
      <c r="C397" s="20" t="s">
        <v>95</v>
      </c>
      <c r="N397" s="20" t="str">
        <f>IF(OR(LEFT('Web Links'!$C397,2)="In",$C397="Error"),"?????",""&amp;C397)</f>
        <v>?????</v>
      </c>
      <c r="O397" s="20" t="str">
        <f>IF(OR(LEFT('Web Links'!$C397,2)="In",$C397="Error"),"??????????",""&amp;D397)</f>
        <v>??????????</v>
      </c>
      <c r="P397" s="20" t="str">
        <f>IF(OR(LEFT('Web Links'!$C397,2)="In",$C397="Error"),"???",IF(LEN(E397)=2,"0",IF(LEN(E397)=1,"00","")))&amp;'Web Links'!E397</f>
        <v>???</v>
      </c>
      <c r="Q397" s="20" t="str">
        <f>IF(OR(LEFT('Web Links'!$C397,2)="In",$C397="Error"),"?????",IF(LEN(G397)=4,"",IF(LEN(G397)=3,"",IF(LEN(G397)=2,"",IF(LEN(G397)=1,"",""))))&amp;'Web Links'!G397)</f>
        <v>?????</v>
      </c>
      <c r="R397" s="20" t="str">
        <f>IF(OR(LEFT('Web Links'!$C397,2)="In",$C397="Error"),"???????????????",""&amp;F397)</f>
        <v>???????????????</v>
      </c>
    </row>
    <row r="398" spans="1:18" x14ac:dyDescent="0.2">
      <c r="A398" s="20">
        <f>IF('GL Template'!B412&lt;&gt;"",'GL Template'!B412,0)</f>
        <v>0</v>
      </c>
      <c r="B398" s="20">
        <f>IF('GL Template'!D412&lt;&gt;"",'GL Template'!D412,0)</f>
        <v>0</v>
      </c>
      <c r="C398" s="20" t="s">
        <v>95</v>
      </c>
      <c r="N398" s="20" t="str">
        <f>IF(OR(LEFT('Web Links'!$C398,2)="In",$C398="Error"),"?????",""&amp;C398)</f>
        <v>?????</v>
      </c>
      <c r="O398" s="20" t="str">
        <f>IF(OR(LEFT('Web Links'!$C398,2)="In",$C398="Error"),"??????????",""&amp;D398)</f>
        <v>??????????</v>
      </c>
      <c r="P398" s="20" t="str">
        <f>IF(OR(LEFT('Web Links'!$C398,2)="In",$C398="Error"),"???",IF(LEN(E398)=2,"0",IF(LEN(E398)=1,"00","")))&amp;'Web Links'!E398</f>
        <v>???</v>
      </c>
      <c r="Q398" s="20" t="str">
        <f>IF(OR(LEFT('Web Links'!$C398,2)="In",$C398="Error"),"?????",IF(LEN(G398)=4,"",IF(LEN(G398)=3,"",IF(LEN(G398)=2,"",IF(LEN(G398)=1,"",""))))&amp;'Web Links'!G398)</f>
        <v>?????</v>
      </c>
      <c r="R398" s="20" t="str">
        <f>IF(OR(LEFT('Web Links'!$C398,2)="In",$C398="Error"),"???????????????",""&amp;F398)</f>
        <v>???????????????</v>
      </c>
    </row>
    <row r="399" spans="1:18" x14ac:dyDescent="0.2">
      <c r="A399" s="20">
        <f>IF('GL Template'!B413&lt;&gt;"",'GL Template'!B413,0)</f>
        <v>0</v>
      </c>
      <c r="B399" s="20">
        <f>IF('GL Template'!D413&lt;&gt;"",'GL Template'!D413,0)</f>
        <v>0</v>
      </c>
      <c r="C399" s="20" t="s">
        <v>95</v>
      </c>
      <c r="N399" s="20" t="str">
        <f>IF(OR(LEFT('Web Links'!$C399,2)="In",$C399="Error"),"?????",""&amp;C399)</f>
        <v>?????</v>
      </c>
      <c r="O399" s="20" t="str">
        <f>IF(OR(LEFT('Web Links'!$C399,2)="In",$C399="Error"),"??????????",""&amp;D399)</f>
        <v>??????????</v>
      </c>
      <c r="P399" s="20" t="str">
        <f>IF(OR(LEFT('Web Links'!$C399,2)="In",$C399="Error"),"???",IF(LEN(E399)=2,"0",IF(LEN(E399)=1,"00","")))&amp;'Web Links'!E399</f>
        <v>???</v>
      </c>
      <c r="Q399" s="20" t="str">
        <f>IF(OR(LEFT('Web Links'!$C399,2)="In",$C399="Error"),"?????",IF(LEN(G399)=4,"",IF(LEN(G399)=3,"",IF(LEN(G399)=2,"",IF(LEN(G399)=1,"",""))))&amp;'Web Links'!G399)</f>
        <v>?????</v>
      </c>
      <c r="R399" s="20" t="str">
        <f>IF(OR(LEFT('Web Links'!$C399,2)="In",$C399="Error"),"???????????????",""&amp;F399)</f>
        <v>???????????????</v>
      </c>
    </row>
    <row r="400" spans="1:18" x14ac:dyDescent="0.2">
      <c r="A400" s="20">
        <f>IF('GL Template'!B414&lt;&gt;"",'GL Template'!B414,0)</f>
        <v>0</v>
      </c>
      <c r="B400" s="20">
        <f>IF('GL Template'!D414&lt;&gt;"",'GL Template'!D414,0)</f>
        <v>0</v>
      </c>
      <c r="C400" s="20" t="s">
        <v>95</v>
      </c>
      <c r="N400" s="20" t="str">
        <f>IF(OR(LEFT('Web Links'!$C400,2)="In",$C400="Error"),"?????",""&amp;C400)</f>
        <v>?????</v>
      </c>
      <c r="O400" s="20" t="str">
        <f>IF(OR(LEFT('Web Links'!$C400,2)="In",$C400="Error"),"??????????",""&amp;D400)</f>
        <v>??????????</v>
      </c>
      <c r="P400" s="20" t="str">
        <f>IF(OR(LEFT('Web Links'!$C400,2)="In",$C400="Error"),"???",IF(LEN(E400)=2,"0",IF(LEN(E400)=1,"00","")))&amp;'Web Links'!E400</f>
        <v>???</v>
      </c>
      <c r="Q400" s="20" t="str">
        <f>IF(OR(LEFT('Web Links'!$C400,2)="In",$C400="Error"),"?????",IF(LEN(G400)=4,"",IF(LEN(G400)=3,"",IF(LEN(G400)=2,"",IF(LEN(G400)=1,"",""))))&amp;'Web Links'!G400)</f>
        <v>?????</v>
      </c>
      <c r="R400" s="20" t="str">
        <f>IF(OR(LEFT('Web Links'!$C400,2)="In",$C400="Error"),"???????????????",""&amp;F400)</f>
        <v>???????????????</v>
      </c>
    </row>
    <row r="401" spans="1:18" x14ac:dyDescent="0.2">
      <c r="A401" s="20">
        <f>IF('GL Template'!B415&lt;&gt;"",'GL Template'!B415,0)</f>
        <v>0</v>
      </c>
      <c r="B401" s="20">
        <f>IF('GL Template'!D415&lt;&gt;"",'GL Template'!D415,0)</f>
        <v>0</v>
      </c>
      <c r="C401" s="20" t="s">
        <v>95</v>
      </c>
      <c r="N401" s="20" t="str">
        <f>IF(OR(LEFT('Web Links'!$C401,2)="In",$C401="Error"),"?????",""&amp;C401)</f>
        <v>?????</v>
      </c>
      <c r="O401" s="20" t="str">
        <f>IF(OR(LEFT('Web Links'!$C401,2)="In",$C401="Error"),"??????????",""&amp;D401)</f>
        <v>??????????</v>
      </c>
      <c r="P401" s="20" t="str">
        <f>IF(OR(LEFT('Web Links'!$C401,2)="In",$C401="Error"),"???",IF(LEN(E401)=2,"0",IF(LEN(E401)=1,"00","")))&amp;'Web Links'!E401</f>
        <v>???</v>
      </c>
      <c r="Q401" s="20" t="str">
        <f>IF(OR(LEFT('Web Links'!$C401,2)="In",$C401="Error"),"?????",IF(LEN(G401)=4,"",IF(LEN(G401)=3,"",IF(LEN(G401)=2,"",IF(LEN(G401)=1,"",""))))&amp;'Web Links'!G401)</f>
        <v>?????</v>
      </c>
      <c r="R401" s="20" t="str">
        <f>IF(OR(LEFT('Web Links'!$C401,2)="In",$C401="Error"),"???????????????",""&amp;F401)</f>
        <v>???????????????</v>
      </c>
    </row>
    <row r="402" spans="1:18" x14ac:dyDescent="0.2">
      <c r="A402" s="20">
        <f>IF('GL Template'!B416&lt;&gt;"",'GL Template'!B416,0)</f>
        <v>0</v>
      </c>
      <c r="B402" s="20">
        <f>IF('GL Template'!D416&lt;&gt;"",'GL Template'!D416,0)</f>
        <v>0</v>
      </c>
      <c r="C402" s="20" t="s">
        <v>95</v>
      </c>
      <c r="N402" s="20" t="str">
        <f>IF(OR(LEFT('Web Links'!$C402,2)="In",$C402="Error"),"?????",""&amp;C402)</f>
        <v>?????</v>
      </c>
      <c r="O402" s="20" t="str">
        <f>IF(OR(LEFT('Web Links'!$C402,2)="In",$C402="Error"),"??????????",""&amp;D402)</f>
        <v>??????????</v>
      </c>
      <c r="P402" s="20" t="str">
        <f>IF(OR(LEFT('Web Links'!$C402,2)="In",$C402="Error"),"???",IF(LEN(E402)=2,"0",IF(LEN(E402)=1,"00","")))&amp;'Web Links'!E402</f>
        <v>???</v>
      </c>
      <c r="Q402" s="20" t="str">
        <f>IF(OR(LEFT('Web Links'!$C402,2)="In",$C402="Error"),"?????",IF(LEN(G402)=4,"",IF(LEN(G402)=3,"",IF(LEN(G402)=2,"",IF(LEN(G402)=1,"",""))))&amp;'Web Links'!G402)</f>
        <v>?????</v>
      </c>
      <c r="R402" s="20" t="str">
        <f>IF(OR(LEFT('Web Links'!$C402,2)="In",$C402="Error"),"???????????????",""&amp;F402)</f>
        <v>???????????????</v>
      </c>
    </row>
    <row r="403" spans="1:18" x14ac:dyDescent="0.2">
      <c r="A403" s="20">
        <f>IF('GL Template'!B417&lt;&gt;"",'GL Template'!B417,0)</f>
        <v>0</v>
      </c>
      <c r="B403" s="20">
        <f>IF('GL Template'!D417&lt;&gt;"",'GL Template'!D417,0)</f>
        <v>0</v>
      </c>
      <c r="C403" s="20" t="s">
        <v>95</v>
      </c>
      <c r="N403" s="20" t="str">
        <f>IF(OR(LEFT('Web Links'!$C403,2)="In",$C403="Error"),"?????",""&amp;C403)</f>
        <v>?????</v>
      </c>
      <c r="O403" s="20" t="str">
        <f>IF(OR(LEFT('Web Links'!$C403,2)="In",$C403="Error"),"??????????",""&amp;D403)</f>
        <v>??????????</v>
      </c>
      <c r="P403" s="20" t="str">
        <f>IF(OR(LEFT('Web Links'!$C403,2)="In",$C403="Error"),"???",IF(LEN(E403)=2,"0",IF(LEN(E403)=1,"00","")))&amp;'Web Links'!E403</f>
        <v>???</v>
      </c>
      <c r="Q403" s="20" t="str">
        <f>IF(OR(LEFT('Web Links'!$C403,2)="In",$C403="Error"),"?????",IF(LEN(G403)=4,"",IF(LEN(G403)=3,"",IF(LEN(G403)=2,"",IF(LEN(G403)=1,"",""))))&amp;'Web Links'!G403)</f>
        <v>?????</v>
      </c>
      <c r="R403" s="20" t="str">
        <f>IF(OR(LEFT('Web Links'!$C403,2)="In",$C403="Error"),"???????????????",""&amp;F403)</f>
        <v>???????????????</v>
      </c>
    </row>
    <row r="404" spans="1:18" x14ac:dyDescent="0.2">
      <c r="A404" s="20">
        <f>IF('GL Template'!B418&lt;&gt;"",'GL Template'!B418,0)</f>
        <v>0</v>
      </c>
      <c r="B404" s="20">
        <f>IF('GL Template'!D418&lt;&gt;"",'GL Template'!D418,0)</f>
        <v>0</v>
      </c>
      <c r="C404" s="20" t="s">
        <v>95</v>
      </c>
      <c r="N404" s="20" t="str">
        <f>IF(OR(LEFT('Web Links'!$C404,2)="In",$C404="Error"),"?????",""&amp;C404)</f>
        <v>?????</v>
      </c>
      <c r="O404" s="20" t="str">
        <f>IF(OR(LEFT('Web Links'!$C404,2)="In",$C404="Error"),"??????????",""&amp;D404)</f>
        <v>??????????</v>
      </c>
      <c r="P404" s="20" t="str">
        <f>IF(OR(LEFT('Web Links'!$C404,2)="In",$C404="Error"),"???",IF(LEN(E404)=2,"0",IF(LEN(E404)=1,"00","")))&amp;'Web Links'!E404</f>
        <v>???</v>
      </c>
      <c r="Q404" s="20" t="str">
        <f>IF(OR(LEFT('Web Links'!$C404,2)="In",$C404="Error"),"?????",IF(LEN(G404)=4,"",IF(LEN(G404)=3,"",IF(LEN(G404)=2,"",IF(LEN(G404)=1,"",""))))&amp;'Web Links'!G404)</f>
        <v>?????</v>
      </c>
      <c r="R404" s="20" t="str">
        <f>IF(OR(LEFT('Web Links'!$C404,2)="In",$C404="Error"),"???????????????",""&amp;F404)</f>
        <v>???????????????</v>
      </c>
    </row>
    <row r="405" spans="1:18" x14ac:dyDescent="0.2">
      <c r="A405" s="20">
        <f>IF('GL Template'!B419&lt;&gt;"",'GL Template'!B419,0)</f>
        <v>0</v>
      </c>
      <c r="B405" s="20">
        <f>IF('GL Template'!D419&lt;&gt;"",'GL Template'!D419,0)</f>
        <v>0</v>
      </c>
      <c r="C405" s="20" t="s">
        <v>95</v>
      </c>
      <c r="N405" s="20" t="str">
        <f>IF(OR(LEFT('Web Links'!$C405,2)="In",$C405="Error"),"?????",""&amp;C405)</f>
        <v>?????</v>
      </c>
      <c r="O405" s="20" t="str">
        <f>IF(OR(LEFT('Web Links'!$C405,2)="In",$C405="Error"),"??????????",""&amp;D405)</f>
        <v>??????????</v>
      </c>
      <c r="P405" s="20" t="str">
        <f>IF(OR(LEFT('Web Links'!$C405,2)="In",$C405="Error"),"???",IF(LEN(E405)=2,"0",IF(LEN(E405)=1,"00","")))&amp;'Web Links'!E405</f>
        <v>???</v>
      </c>
      <c r="Q405" s="20" t="str">
        <f>IF(OR(LEFT('Web Links'!$C405,2)="In",$C405="Error"),"?????",IF(LEN(G405)=4,"",IF(LEN(G405)=3,"",IF(LEN(G405)=2,"",IF(LEN(G405)=1,"",""))))&amp;'Web Links'!G405)</f>
        <v>?????</v>
      </c>
      <c r="R405" s="20" t="str">
        <f>IF(OR(LEFT('Web Links'!$C405,2)="In",$C405="Error"),"???????????????",""&amp;F405)</f>
        <v>???????????????</v>
      </c>
    </row>
    <row r="406" spans="1:18" x14ac:dyDescent="0.2">
      <c r="A406" s="20">
        <f>IF('GL Template'!B420&lt;&gt;"",'GL Template'!B420,0)</f>
        <v>0</v>
      </c>
      <c r="B406" s="20">
        <f>IF('GL Template'!D420&lt;&gt;"",'GL Template'!D420,0)</f>
        <v>0</v>
      </c>
      <c r="C406" s="20" t="s">
        <v>95</v>
      </c>
      <c r="N406" s="20" t="str">
        <f>IF(OR(LEFT('Web Links'!$C406,2)="In",$C406="Error"),"?????",""&amp;C406)</f>
        <v>?????</v>
      </c>
      <c r="O406" s="20" t="str">
        <f>IF(OR(LEFT('Web Links'!$C406,2)="In",$C406="Error"),"??????????",""&amp;D406)</f>
        <v>??????????</v>
      </c>
      <c r="P406" s="20" t="str">
        <f>IF(OR(LEFT('Web Links'!$C406,2)="In",$C406="Error"),"???",IF(LEN(E406)=2,"0",IF(LEN(E406)=1,"00","")))&amp;'Web Links'!E406</f>
        <v>???</v>
      </c>
      <c r="Q406" s="20" t="str">
        <f>IF(OR(LEFT('Web Links'!$C406,2)="In",$C406="Error"),"?????",IF(LEN(G406)=4,"",IF(LEN(G406)=3,"",IF(LEN(G406)=2,"",IF(LEN(G406)=1,"",""))))&amp;'Web Links'!G406)</f>
        <v>?????</v>
      </c>
      <c r="R406" s="20" t="str">
        <f>IF(OR(LEFT('Web Links'!$C406,2)="In",$C406="Error"),"???????????????",""&amp;F406)</f>
        <v>???????????????</v>
      </c>
    </row>
    <row r="407" spans="1:18" x14ac:dyDescent="0.2">
      <c r="A407" s="20">
        <f>IF('GL Template'!B421&lt;&gt;"",'GL Template'!B421,0)</f>
        <v>0</v>
      </c>
      <c r="B407" s="20">
        <f>IF('GL Template'!D421&lt;&gt;"",'GL Template'!D421,0)</f>
        <v>0</v>
      </c>
      <c r="C407" s="20" t="s">
        <v>95</v>
      </c>
      <c r="N407" s="20" t="str">
        <f>IF(OR(LEFT('Web Links'!$C407,2)="In",$C407="Error"),"?????",""&amp;C407)</f>
        <v>?????</v>
      </c>
      <c r="O407" s="20" t="str">
        <f>IF(OR(LEFT('Web Links'!$C407,2)="In",$C407="Error"),"??????????",""&amp;D407)</f>
        <v>??????????</v>
      </c>
      <c r="P407" s="20" t="str">
        <f>IF(OR(LEFT('Web Links'!$C407,2)="In",$C407="Error"),"???",IF(LEN(E407)=2,"0",IF(LEN(E407)=1,"00","")))&amp;'Web Links'!E407</f>
        <v>???</v>
      </c>
      <c r="Q407" s="20" t="str">
        <f>IF(OR(LEFT('Web Links'!$C407,2)="In",$C407="Error"),"?????",IF(LEN(G407)=4,"",IF(LEN(G407)=3,"",IF(LEN(G407)=2,"",IF(LEN(G407)=1,"",""))))&amp;'Web Links'!G407)</f>
        <v>?????</v>
      </c>
      <c r="R407" s="20" t="str">
        <f>IF(OR(LEFT('Web Links'!$C407,2)="In",$C407="Error"),"???????????????",""&amp;F407)</f>
        <v>???????????????</v>
      </c>
    </row>
    <row r="408" spans="1:18" x14ac:dyDescent="0.2">
      <c r="A408" s="20">
        <f>IF('GL Template'!B422&lt;&gt;"",'GL Template'!B422,0)</f>
        <v>0</v>
      </c>
      <c r="B408" s="20">
        <f>IF('GL Template'!D422&lt;&gt;"",'GL Template'!D422,0)</f>
        <v>0</v>
      </c>
      <c r="C408" s="20" t="s">
        <v>95</v>
      </c>
      <c r="N408" s="20" t="str">
        <f>IF(OR(LEFT('Web Links'!$C408,2)="In",$C408="Error"),"?????",""&amp;C408)</f>
        <v>?????</v>
      </c>
      <c r="O408" s="20" t="str">
        <f>IF(OR(LEFT('Web Links'!$C408,2)="In",$C408="Error"),"??????????",""&amp;D408)</f>
        <v>??????????</v>
      </c>
      <c r="P408" s="20" t="str">
        <f>IF(OR(LEFT('Web Links'!$C408,2)="In",$C408="Error"),"???",IF(LEN(E408)=2,"0",IF(LEN(E408)=1,"00","")))&amp;'Web Links'!E408</f>
        <v>???</v>
      </c>
      <c r="Q408" s="20" t="str">
        <f>IF(OR(LEFT('Web Links'!$C408,2)="In",$C408="Error"),"?????",IF(LEN(G408)=4,"",IF(LEN(G408)=3,"",IF(LEN(G408)=2,"",IF(LEN(G408)=1,"",""))))&amp;'Web Links'!G408)</f>
        <v>?????</v>
      </c>
      <c r="R408" s="20" t="str">
        <f>IF(OR(LEFT('Web Links'!$C408,2)="In",$C408="Error"),"???????????????",""&amp;F408)</f>
        <v>???????????????</v>
      </c>
    </row>
    <row r="409" spans="1:18" x14ac:dyDescent="0.2">
      <c r="A409" s="20">
        <f>IF('GL Template'!B423&lt;&gt;"",'GL Template'!B423,0)</f>
        <v>0</v>
      </c>
      <c r="B409" s="20">
        <f>IF('GL Template'!D423&lt;&gt;"",'GL Template'!D423,0)</f>
        <v>0</v>
      </c>
      <c r="C409" s="20" t="s">
        <v>95</v>
      </c>
      <c r="N409" s="20" t="str">
        <f>IF(OR(LEFT('Web Links'!$C409,2)="In",$C409="Error"),"?????",""&amp;C409)</f>
        <v>?????</v>
      </c>
      <c r="O409" s="20" t="str">
        <f>IF(OR(LEFT('Web Links'!$C409,2)="In",$C409="Error"),"??????????",""&amp;D409)</f>
        <v>??????????</v>
      </c>
      <c r="P409" s="20" t="str">
        <f>IF(OR(LEFT('Web Links'!$C409,2)="In",$C409="Error"),"???",IF(LEN(E409)=2,"0",IF(LEN(E409)=1,"00","")))&amp;'Web Links'!E409</f>
        <v>???</v>
      </c>
      <c r="Q409" s="20" t="str">
        <f>IF(OR(LEFT('Web Links'!$C409,2)="In",$C409="Error"),"?????",IF(LEN(G409)=4,"",IF(LEN(G409)=3,"",IF(LEN(G409)=2,"",IF(LEN(G409)=1,"",""))))&amp;'Web Links'!G409)</f>
        <v>?????</v>
      </c>
      <c r="R409" s="20" t="str">
        <f>IF(OR(LEFT('Web Links'!$C409,2)="In",$C409="Error"),"???????????????",""&amp;F409)</f>
        <v>???????????????</v>
      </c>
    </row>
    <row r="410" spans="1:18" x14ac:dyDescent="0.2">
      <c r="A410" s="20">
        <f>IF('GL Template'!B424&lt;&gt;"",'GL Template'!B424,0)</f>
        <v>0</v>
      </c>
      <c r="B410" s="20">
        <f>IF('GL Template'!D424&lt;&gt;"",'GL Template'!D424,0)</f>
        <v>0</v>
      </c>
      <c r="C410" s="20" t="s">
        <v>95</v>
      </c>
      <c r="N410" s="20" t="str">
        <f>IF(OR(LEFT('Web Links'!$C410,2)="In",$C410="Error"),"?????",""&amp;C410)</f>
        <v>?????</v>
      </c>
      <c r="O410" s="20" t="str">
        <f>IF(OR(LEFT('Web Links'!$C410,2)="In",$C410="Error"),"??????????",""&amp;D410)</f>
        <v>??????????</v>
      </c>
      <c r="P410" s="20" t="str">
        <f>IF(OR(LEFT('Web Links'!$C410,2)="In",$C410="Error"),"???",IF(LEN(E410)=2,"0",IF(LEN(E410)=1,"00","")))&amp;'Web Links'!E410</f>
        <v>???</v>
      </c>
      <c r="Q410" s="20" t="str">
        <f>IF(OR(LEFT('Web Links'!$C410,2)="In",$C410="Error"),"?????",IF(LEN(G410)=4,"",IF(LEN(G410)=3,"",IF(LEN(G410)=2,"",IF(LEN(G410)=1,"",""))))&amp;'Web Links'!G410)</f>
        <v>?????</v>
      </c>
      <c r="R410" s="20" t="str">
        <f>IF(OR(LEFT('Web Links'!$C410,2)="In",$C410="Error"),"???????????????",""&amp;F410)</f>
        <v>???????????????</v>
      </c>
    </row>
    <row r="411" spans="1:18" x14ac:dyDescent="0.2">
      <c r="A411" s="20">
        <f>IF('GL Template'!B425&lt;&gt;"",'GL Template'!B425,0)</f>
        <v>0</v>
      </c>
      <c r="B411" s="20">
        <f>IF('GL Template'!D425&lt;&gt;"",'GL Template'!D425,0)</f>
        <v>0</v>
      </c>
      <c r="C411" s="20" t="s">
        <v>95</v>
      </c>
      <c r="N411" s="20" t="str">
        <f>IF(OR(LEFT('Web Links'!$C411,2)="In",$C411="Error"),"?????",""&amp;C411)</f>
        <v>?????</v>
      </c>
      <c r="O411" s="20" t="str">
        <f>IF(OR(LEFT('Web Links'!$C411,2)="In",$C411="Error"),"??????????",""&amp;D411)</f>
        <v>??????????</v>
      </c>
      <c r="P411" s="20" t="str">
        <f>IF(OR(LEFT('Web Links'!$C411,2)="In",$C411="Error"),"???",IF(LEN(E411)=2,"0",IF(LEN(E411)=1,"00","")))&amp;'Web Links'!E411</f>
        <v>???</v>
      </c>
      <c r="Q411" s="20" t="str">
        <f>IF(OR(LEFT('Web Links'!$C411,2)="In",$C411="Error"),"?????",IF(LEN(G411)=4,"",IF(LEN(G411)=3,"",IF(LEN(G411)=2,"",IF(LEN(G411)=1,"",""))))&amp;'Web Links'!G411)</f>
        <v>?????</v>
      </c>
      <c r="R411" s="20" t="str">
        <f>IF(OR(LEFT('Web Links'!$C411,2)="In",$C411="Error"),"???????????????",""&amp;F411)</f>
        <v>???????????????</v>
      </c>
    </row>
    <row r="412" spans="1:18" x14ac:dyDescent="0.2">
      <c r="A412" s="20">
        <f>IF('GL Template'!B426&lt;&gt;"",'GL Template'!B426,0)</f>
        <v>0</v>
      </c>
      <c r="B412" s="20">
        <f>IF('GL Template'!D426&lt;&gt;"",'GL Template'!D426,0)</f>
        <v>0</v>
      </c>
      <c r="C412" s="20" t="s">
        <v>95</v>
      </c>
      <c r="N412" s="20" t="str">
        <f>IF(OR(LEFT('Web Links'!$C412,2)="In",$C412="Error"),"?????",""&amp;C412)</f>
        <v>?????</v>
      </c>
      <c r="O412" s="20" t="str">
        <f>IF(OR(LEFT('Web Links'!$C412,2)="In",$C412="Error"),"??????????",""&amp;D412)</f>
        <v>??????????</v>
      </c>
      <c r="P412" s="20" t="str">
        <f>IF(OR(LEFT('Web Links'!$C412,2)="In",$C412="Error"),"???",IF(LEN(E412)=2,"0",IF(LEN(E412)=1,"00","")))&amp;'Web Links'!E412</f>
        <v>???</v>
      </c>
      <c r="Q412" s="20" t="str">
        <f>IF(OR(LEFT('Web Links'!$C412,2)="In",$C412="Error"),"?????",IF(LEN(G412)=4,"",IF(LEN(G412)=3,"",IF(LEN(G412)=2,"",IF(LEN(G412)=1,"",""))))&amp;'Web Links'!G412)</f>
        <v>?????</v>
      </c>
      <c r="R412" s="20" t="str">
        <f>IF(OR(LEFT('Web Links'!$C412,2)="In",$C412="Error"),"???????????????",""&amp;F412)</f>
        <v>???????????????</v>
      </c>
    </row>
    <row r="413" spans="1:18" x14ac:dyDescent="0.2">
      <c r="A413" s="20">
        <f>IF('GL Template'!B427&lt;&gt;"",'GL Template'!B427,0)</f>
        <v>0</v>
      </c>
      <c r="B413" s="20">
        <f>IF('GL Template'!D427&lt;&gt;"",'GL Template'!D427,0)</f>
        <v>0</v>
      </c>
      <c r="C413" s="20" t="s">
        <v>95</v>
      </c>
      <c r="N413" s="20" t="str">
        <f>IF(OR(LEFT('Web Links'!$C413,2)="In",$C413="Error"),"?????",""&amp;C413)</f>
        <v>?????</v>
      </c>
      <c r="O413" s="20" t="str">
        <f>IF(OR(LEFT('Web Links'!$C413,2)="In",$C413="Error"),"??????????",""&amp;D413)</f>
        <v>??????????</v>
      </c>
      <c r="P413" s="20" t="str">
        <f>IF(OR(LEFT('Web Links'!$C413,2)="In",$C413="Error"),"???",IF(LEN(E413)=2,"0",IF(LEN(E413)=1,"00","")))&amp;'Web Links'!E413</f>
        <v>???</v>
      </c>
      <c r="Q413" s="20" t="str">
        <f>IF(OR(LEFT('Web Links'!$C413,2)="In",$C413="Error"),"?????",IF(LEN(G413)=4,"",IF(LEN(G413)=3,"",IF(LEN(G413)=2,"",IF(LEN(G413)=1,"",""))))&amp;'Web Links'!G413)</f>
        <v>?????</v>
      </c>
      <c r="R413" s="20" t="str">
        <f>IF(OR(LEFT('Web Links'!$C413,2)="In",$C413="Error"),"???????????????",""&amp;F413)</f>
        <v>???????????????</v>
      </c>
    </row>
    <row r="414" spans="1:18" x14ac:dyDescent="0.2">
      <c r="A414" s="20">
        <f>IF('GL Template'!B428&lt;&gt;"",'GL Template'!B428,0)</f>
        <v>0</v>
      </c>
      <c r="B414" s="20">
        <f>IF('GL Template'!D428&lt;&gt;"",'GL Template'!D428,0)</f>
        <v>0</v>
      </c>
      <c r="C414" s="20" t="s">
        <v>95</v>
      </c>
      <c r="N414" s="20" t="str">
        <f>IF(OR(LEFT('Web Links'!$C414,2)="In",$C414="Error"),"?????",""&amp;C414)</f>
        <v>?????</v>
      </c>
      <c r="O414" s="20" t="str">
        <f>IF(OR(LEFT('Web Links'!$C414,2)="In",$C414="Error"),"??????????",""&amp;D414)</f>
        <v>??????????</v>
      </c>
      <c r="P414" s="20" t="str">
        <f>IF(OR(LEFT('Web Links'!$C414,2)="In",$C414="Error"),"???",IF(LEN(E414)=2,"0",IF(LEN(E414)=1,"00","")))&amp;'Web Links'!E414</f>
        <v>???</v>
      </c>
      <c r="Q414" s="20" t="str">
        <f>IF(OR(LEFT('Web Links'!$C414,2)="In",$C414="Error"),"?????",IF(LEN(G414)=4,"",IF(LEN(G414)=3,"",IF(LEN(G414)=2,"",IF(LEN(G414)=1,"",""))))&amp;'Web Links'!G414)</f>
        <v>?????</v>
      </c>
      <c r="R414" s="20" t="str">
        <f>IF(OR(LEFT('Web Links'!$C414,2)="In",$C414="Error"),"???????????????",""&amp;F414)</f>
        <v>???????????????</v>
      </c>
    </row>
    <row r="415" spans="1:18" x14ac:dyDescent="0.2">
      <c r="A415" s="20">
        <f>IF('GL Template'!B429&lt;&gt;"",'GL Template'!B429,0)</f>
        <v>0</v>
      </c>
      <c r="B415" s="20">
        <f>IF('GL Template'!D429&lt;&gt;"",'GL Template'!D429,0)</f>
        <v>0</v>
      </c>
      <c r="C415" s="20" t="s">
        <v>95</v>
      </c>
      <c r="N415" s="20" t="str">
        <f>IF(OR(LEFT('Web Links'!$C415,2)="In",$C415="Error"),"?????",""&amp;C415)</f>
        <v>?????</v>
      </c>
      <c r="O415" s="20" t="str">
        <f>IF(OR(LEFT('Web Links'!$C415,2)="In",$C415="Error"),"??????????",""&amp;D415)</f>
        <v>??????????</v>
      </c>
      <c r="P415" s="20" t="str">
        <f>IF(OR(LEFT('Web Links'!$C415,2)="In",$C415="Error"),"???",IF(LEN(E415)=2,"0",IF(LEN(E415)=1,"00","")))&amp;'Web Links'!E415</f>
        <v>???</v>
      </c>
      <c r="Q415" s="20" t="str">
        <f>IF(OR(LEFT('Web Links'!$C415,2)="In",$C415="Error"),"?????",IF(LEN(G415)=4,"",IF(LEN(G415)=3,"",IF(LEN(G415)=2,"",IF(LEN(G415)=1,"",""))))&amp;'Web Links'!G415)</f>
        <v>?????</v>
      </c>
      <c r="R415" s="20" t="str">
        <f>IF(OR(LEFT('Web Links'!$C415,2)="In",$C415="Error"),"???????????????",""&amp;F415)</f>
        <v>???????????????</v>
      </c>
    </row>
    <row r="416" spans="1:18" x14ac:dyDescent="0.2">
      <c r="A416" s="20">
        <f>IF('GL Template'!B430&lt;&gt;"",'GL Template'!B430,0)</f>
        <v>0</v>
      </c>
      <c r="B416" s="20">
        <f>IF('GL Template'!D430&lt;&gt;"",'GL Template'!D430,0)</f>
        <v>0</v>
      </c>
      <c r="C416" s="20" t="s">
        <v>95</v>
      </c>
      <c r="N416" s="20" t="str">
        <f>IF(OR(LEFT('Web Links'!$C416,2)="In",$C416="Error"),"?????",""&amp;C416)</f>
        <v>?????</v>
      </c>
      <c r="O416" s="20" t="str">
        <f>IF(OR(LEFT('Web Links'!$C416,2)="In",$C416="Error"),"??????????",""&amp;D416)</f>
        <v>??????????</v>
      </c>
      <c r="P416" s="20" t="str">
        <f>IF(OR(LEFT('Web Links'!$C416,2)="In",$C416="Error"),"???",IF(LEN(E416)=2,"0",IF(LEN(E416)=1,"00","")))&amp;'Web Links'!E416</f>
        <v>???</v>
      </c>
      <c r="Q416" s="20" t="str">
        <f>IF(OR(LEFT('Web Links'!$C416,2)="In",$C416="Error"),"?????",IF(LEN(G416)=4,"",IF(LEN(G416)=3,"",IF(LEN(G416)=2,"",IF(LEN(G416)=1,"",""))))&amp;'Web Links'!G416)</f>
        <v>?????</v>
      </c>
      <c r="R416" s="20" t="str">
        <f>IF(OR(LEFT('Web Links'!$C416,2)="In",$C416="Error"),"???????????????",""&amp;F416)</f>
        <v>???????????????</v>
      </c>
    </row>
    <row r="417" spans="1:18" x14ac:dyDescent="0.2">
      <c r="A417" s="20">
        <f>IF('GL Template'!B431&lt;&gt;"",'GL Template'!B431,0)</f>
        <v>0</v>
      </c>
      <c r="B417" s="20">
        <f>IF('GL Template'!D431&lt;&gt;"",'GL Template'!D431,0)</f>
        <v>0</v>
      </c>
      <c r="C417" s="20" t="s">
        <v>95</v>
      </c>
      <c r="N417" s="20" t="str">
        <f>IF(OR(LEFT('Web Links'!$C417,2)="In",$C417="Error"),"?????",""&amp;C417)</f>
        <v>?????</v>
      </c>
      <c r="O417" s="20" t="str">
        <f>IF(OR(LEFT('Web Links'!$C417,2)="In",$C417="Error"),"??????????",""&amp;D417)</f>
        <v>??????????</v>
      </c>
      <c r="P417" s="20" t="str">
        <f>IF(OR(LEFT('Web Links'!$C417,2)="In",$C417="Error"),"???",IF(LEN(E417)=2,"0",IF(LEN(E417)=1,"00","")))&amp;'Web Links'!E417</f>
        <v>???</v>
      </c>
      <c r="Q417" s="20" t="str">
        <f>IF(OR(LEFT('Web Links'!$C417,2)="In",$C417="Error"),"?????",IF(LEN(G417)=4,"",IF(LEN(G417)=3,"",IF(LEN(G417)=2,"",IF(LEN(G417)=1,"",""))))&amp;'Web Links'!G417)</f>
        <v>?????</v>
      </c>
      <c r="R417" s="20" t="str">
        <f>IF(OR(LEFT('Web Links'!$C417,2)="In",$C417="Error"),"???????????????",""&amp;F417)</f>
        <v>???????????????</v>
      </c>
    </row>
    <row r="418" spans="1:18" x14ac:dyDescent="0.2">
      <c r="A418" s="20">
        <f>IF('GL Template'!B432&lt;&gt;"",'GL Template'!B432,0)</f>
        <v>0</v>
      </c>
      <c r="B418" s="20">
        <f>IF('GL Template'!D432&lt;&gt;"",'GL Template'!D432,0)</f>
        <v>0</v>
      </c>
      <c r="C418" s="20" t="s">
        <v>95</v>
      </c>
      <c r="N418" s="20" t="str">
        <f>IF(OR(LEFT('Web Links'!$C418,2)="In",$C418="Error"),"?????",""&amp;C418)</f>
        <v>?????</v>
      </c>
      <c r="O418" s="20" t="str">
        <f>IF(OR(LEFT('Web Links'!$C418,2)="In",$C418="Error"),"??????????",""&amp;D418)</f>
        <v>??????????</v>
      </c>
      <c r="P418" s="20" t="str">
        <f>IF(OR(LEFT('Web Links'!$C418,2)="In",$C418="Error"),"???",IF(LEN(E418)=2,"0",IF(LEN(E418)=1,"00","")))&amp;'Web Links'!E418</f>
        <v>???</v>
      </c>
      <c r="Q418" s="20" t="str">
        <f>IF(OR(LEFT('Web Links'!$C418,2)="In",$C418="Error"),"?????",IF(LEN(G418)=4,"",IF(LEN(G418)=3,"",IF(LEN(G418)=2,"",IF(LEN(G418)=1,"",""))))&amp;'Web Links'!G418)</f>
        <v>?????</v>
      </c>
      <c r="R418" s="20" t="str">
        <f>IF(OR(LEFT('Web Links'!$C418,2)="In",$C418="Error"),"???????????????",""&amp;F418)</f>
        <v>???????????????</v>
      </c>
    </row>
    <row r="419" spans="1:18" x14ac:dyDescent="0.2">
      <c r="A419" s="20">
        <f>IF('GL Template'!B433&lt;&gt;"",'GL Template'!B433,0)</f>
        <v>0</v>
      </c>
      <c r="B419" s="20">
        <f>IF('GL Template'!D433&lt;&gt;"",'GL Template'!D433,0)</f>
        <v>0</v>
      </c>
      <c r="C419" s="20" t="s">
        <v>95</v>
      </c>
      <c r="N419" s="20" t="str">
        <f>IF(OR(LEFT('Web Links'!$C419,2)="In",$C419="Error"),"?????",""&amp;C419)</f>
        <v>?????</v>
      </c>
      <c r="O419" s="20" t="str">
        <f>IF(OR(LEFT('Web Links'!$C419,2)="In",$C419="Error"),"??????????",""&amp;D419)</f>
        <v>??????????</v>
      </c>
      <c r="P419" s="20" t="str">
        <f>IF(OR(LEFT('Web Links'!$C419,2)="In",$C419="Error"),"???",IF(LEN(E419)=2,"0",IF(LEN(E419)=1,"00","")))&amp;'Web Links'!E419</f>
        <v>???</v>
      </c>
      <c r="Q419" s="20" t="str">
        <f>IF(OR(LEFT('Web Links'!$C419,2)="In",$C419="Error"),"?????",IF(LEN(G419)=4,"",IF(LEN(G419)=3,"",IF(LEN(G419)=2,"",IF(LEN(G419)=1,"",""))))&amp;'Web Links'!G419)</f>
        <v>?????</v>
      </c>
      <c r="R419" s="20" t="str">
        <f>IF(OR(LEFT('Web Links'!$C419,2)="In",$C419="Error"),"???????????????",""&amp;F419)</f>
        <v>???????????????</v>
      </c>
    </row>
    <row r="420" spans="1:18" x14ac:dyDescent="0.2">
      <c r="A420" s="20">
        <f>IF('GL Template'!B434&lt;&gt;"",'GL Template'!B434,0)</f>
        <v>0</v>
      </c>
      <c r="B420" s="20">
        <f>IF('GL Template'!D434&lt;&gt;"",'GL Template'!D434,0)</f>
        <v>0</v>
      </c>
      <c r="C420" s="20" t="s">
        <v>95</v>
      </c>
      <c r="N420" s="20" t="str">
        <f>IF(OR(LEFT('Web Links'!$C420,2)="In",$C420="Error"),"?????",""&amp;C420)</f>
        <v>?????</v>
      </c>
      <c r="O420" s="20" t="str">
        <f>IF(OR(LEFT('Web Links'!$C420,2)="In",$C420="Error"),"??????????",""&amp;D420)</f>
        <v>??????????</v>
      </c>
      <c r="P420" s="20" t="str">
        <f>IF(OR(LEFT('Web Links'!$C420,2)="In",$C420="Error"),"???",IF(LEN(E420)=2,"0",IF(LEN(E420)=1,"00","")))&amp;'Web Links'!E420</f>
        <v>???</v>
      </c>
      <c r="Q420" s="20" t="str">
        <f>IF(OR(LEFT('Web Links'!$C420,2)="In",$C420="Error"),"?????",IF(LEN(G420)=4,"",IF(LEN(G420)=3,"",IF(LEN(G420)=2,"",IF(LEN(G420)=1,"",""))))&amp;'Web Links'!G420)</f>
        <v>?????</v>
      </c>
      <c r="R420" s="20" t="str">
        <f>IF(OR(LEFT('Web Links'!$C420,2)="In",$C420="Error"),"???????????????",""&amp;F420)</f>
        <v>???????????????</v>
      </c>
    </row>
    <row r="421" spans="1:18" x14ac:dyDescent="0.2">
      <c r="A421" s="20">
        <f>IF('GL Template'!B435&lt;&gt;"",'GL Template'!B435,0)</f>
        <v>0</v>
      </c>
      <c r="B421" s="20">
        <f>IF('GL Template'!D435&lt;&gt;"",'GL Template'!D435,0)</f>
        <v>0</v>
      </c>
      <c r="C421" s="20" t="s">
        <v>95</v>
      </c>
      <c r="N421" s="20" t="str">
        <f>IF(OR(LEFT('Web Links'!$C421,2)="In",$C421="Error"),"?????",""&amp;C421)</f>
        <v>?????</v>
      </c>
      <c r="O421" s="20" t="str">
        <f>IF(OR(LEFT('Web Links'!$C421,2)="In",$C421="Error"),"??????????",""&amp;D421)</f>
        <v>??????????</v>
      </c>
      <c r="P421" s="20" t="str">
        <f>IF(OR(LEFT('Web Links'!$C421,2)="In",$C421="Error"),"???",IF(LEN(E421)=2,"0",IF(LEN(E421)=1,"00","")))&amp;'Web Links'!E421</f>
        <v>???</v>
      </c>
      <c r="Q421" s="20" t="str">
        <f>IF(OR(LEFT('Web Links'!$C421,2)="In",$C421="Error"),"?????",IF(LEN(G421)=4,"",IF(LEN(G421)=3,"",IF(LEN(G421)=2,"",IF(LEN(G421)=1,"",""))))&amp;'Web Links'!G421)</f>
        <v>?????</v>
      </c>
      <c r="R421" s="20" t="str">
        <f>IF(OR(LEFT('Web Links'!$C421,2)="In",$C421="Error"),"???????????????",""&amp;F421)</f>
        <v>???????????????</v>
      </c>
    </row>
    <row r="422" spans="1:18" x14ac:dyDescent="0.2">
      <c r="A422" s="20">
        <f>IF('GL Template'!B436&lt;&gt;"",'GL Template'!B436,0)</f>
        <v>0</v>
      </c>
      <c r="B422" s="20">
        <f>IF('GL Template'!D436&lt;&gt;"",'GL Template'!D436,0)</f>
        <v>0</v>
      </c>
      <c r="C422" s="20" t="s">
        <v>95</v>
      </c>
      <c r="N422" s="20" t="str">
        <f>IF(OR(LEFT('Web Links'!$C422,2)="In",$C422="Error"),"?????",""&amp;C422)</f>
        <v>?????</v>
      </c>
      <c r="O422" s="20" t="str">
        <f>IF(OR(LEFT('Web Links'!$C422,2)="In",$C422="Error"),"??????????",""&amp;D422)</f>
        <v>??????????</v>
      </c>
      <c r="P422" s="20" t="str">
        <f>IF(OR(LEFT('Web Links'!$C422,2)="In",$C422="Error"),"???",IF(LEN(E422)=2,"0",IF(LEN(E422)=1,"00","")))&amp;'Web Links'!E422</f>
        <v>???</v>
      </c>
      <c r="Q422" s="20" t="str">
        <f>IF(OR(LEFT('Web Links'!$C422,2)="In",$C422="Error"),"?????",IF(LEN(G422)=4,"",IF(LEN(G422)=3,"",IF(LEN(G422)=2,"",IF(LEN(G422)=1,"",""))))&amp;'Web Links'!G422)</f>
        <v>?????</v>
      </c>
      <c r="R422" s="20" t="str">
        <f>IF(OR(LEFT('Web Links'!$C422,2)="In",$C422="Error"),"???????????????",""&amp;F422)</f>
        <v>???????????????</v>
      </c>
    </row>
    <row r="423" spans="1:18" x14ac:dyDescent="0.2">
      <c r="A423" s="20">
        <f>IF('GL Template'!B437&lt;&gt;"",'GL Template'!B437,0)</f>
        <v>0</v>
      </c>
      <c r="B423" s="20">
        <f>IF('GL Template'!D437&lt;&gt;"",'GL Template'!D437,0)</f>
        <v>0</v>
      </c>
      <c r="C423" s="20" t="s">
        <v>95</v>
      </c>
      <c r="N423" s="20" t="str">
        <f>IF(OR(LEFT('Web Links'!$C423,2)="In",$C423="Error"),"?????",""&amp;C423)</f>
        <v>?????</v>
      </c>
      <c r="O423" s="20" t="str">
        <f>IF(OR(LEFT('Web Links'!$C423,2)="In",$C423="Error"),"??????????",""&amp;D423)</f>
        <v>??????????</v>
      </c>
      <c r="P423" s="20" t="str">
        <f>IF(OR(LEFT('Web Links'!$C423,2)="In",$C423="Error"),"???",IF(LEN(E423)=2,"0",IF(LEN(E423)=1,"00","")))&amp;'Web Links'!E423</f>
        <v>???</v>
      </c>
      <c r="Q423" s="20" t="str">
        <f>IF(OR(LEFT('Web Links'!$C423,2)="In",$C423="Error"),"?????",IF(LEN(G423)=4,"",IF(LEN(G423)=3,"",IF(LEN(G423)=2,"",IF(LEN(G423)=1,"",""))))&amp;'Web Links'!G423)</f>
        <v>?????</v>
      </c>
      <c r="R423" s="20" t="str">
        <f>IF(OR(LEFT('Web Links'!$C423,2)="In",$C423="Error"),"???????????????",""&amp;F423)</f>
        <v>???????????????</v>
      </c>
    </row>
    <row r="424" spans="1:18" x14ac:dyDescent="0.2">
      <c r="A424" s="20">
        <f>IF('GL Template'!B438&lt;&gt;"",'GL Template'!B438,0)</f>
        <v>0</v>
      </c>
      <c r="B424" s="20">
        <f>IF('GL Template'!D438&lt;&gt;"",'GL Template'!D438,0)</f>
        <v>0</v>
      </c>
      <c r="C424" s="20" t="s">
        <v>95</v>
      </c>
      <c r="N424" s="20" t="str">
        <f>IF(OR(LEFT('Web Links'!$C424,2)="In",$C424="Error"),"?????",""&amp;C424)</f>
        <v>?????</v>
      </c>
      <c r="O424" s="20" t="str">
        <f>IF(OR(LEFT('Web Links'!$C424,2)="In",$C424="Error"),"??????????",""&amp;D424)</f>
        <v>??????????</v>
      </c>
      <c r="P424" s="20" t="str">
        <f>IF(OR(LEFT('Web Links'!$C424,2)="In",$C424="Error"),"???",IF(LEN(E424)=2,"0",IF(LEN(E424)=1,"00","")))&amp;'Web Links'!E424</f>
        <v>???</v>
      </c>
      <c r="Q424" s="20" t="str">
        <f>IF(OR(LEFT('Web Links'!$C424,2)="In",$C424="Error"),"?????",IF(LEN(G424)=4,"",IF(LEN(G424)=3,"",IF(LEN(G424)=2,"",IF(LEN(G424)=1,"",""))))&amp;'Web Links'!G424)</f>
        <v>?????</v>
      </c>
      <c r="R424" s="20" t="str">
        <f>IF(OR(LEFT('Web Links'!$C424,2)="In",$C424="Error"),"???????????????",""&amp;F424)</f>
        <v>???????????????</v>
      </c>
    </row>
    <row r="425" spans="1:18" x14ac:dyDescent="0.2">
      <c r="A425" s="20">
        <f>IF('GL Template'!B439&lt;&gt;"",'GL Template'!B439,0)</f>
        <v>0</v>
      </c>
      <c r="B425" s="20">
        <f>IF('GL Template'!D439&lt;&gt;"",'GL Template'!D439,0)</f>
        <v>0</v>
      </c>
      <c r="C425" s="20" t="s">
        <v>95</v>
      </c>
      <c r="N425" s="20" t="str">
        <f>IF(OR(LEFT('Web Links'!$C425,2)="In",$C425="Error"),"?????",""&amp;C425)</f>
        <v>?????</v>
      </c>
      <c r="O425" s="20" t="str">
        <f>IF(OR(LEFT('Web Links'!$C425,2)="In",$C425="Error"),"??????????",""&amp;D425)</f>
        <v>??????????</v>
      </c>
      <c r="P425" s="20" t="str">
        <f>IF(OR(LEFT('Web Links'!$C425,2)="In",$C425="Error"),"???",IF(LEN(E425)=2,"0",IF(LEN(E425)=1,"00","")))&amp;'Web Links'!E425</f>
        <v>???</v>
      </c>
      <c r="Q425" s="20" t="str">
        <f>IF(OR(LEFT('Web Links'!$C425,2)="In",$C425="Error"),"?????",IF(LEN(G425)=4,"",IF(LEN(G425)=3,"",IF(LEN(G425)=2,"",IF(LEN(G425)=1,"",""))))&amp;'Web Links'!G425)</f>
        <v>?????</v>
      </c>
      <c r="R425" s="20" t="str">
        <f>IF(OR(LEFT('Web Links'!$C425,2)="In",$C425="Error"),"???????????????",""&amp;F425)</f>
        <v>???????????????</v>
      </c>
    </row>
    <row r="426" spans="1:18" x14ac:dyDescent="0.2">
      <c r="A426" s="20">
        <f>IF('GL Template'!B440&lt;&gt;"",'GL Template'!B440,0)</f>
        <v>0</v>
      </c>
      <c r="B426" s="20">
        <f>IF('GL Template'!D440&lt;&gt;"",'GL Template'!D440,0)</f>
        <v>0</v>
      </c>
      <c r="C426" s="20" t="s">
        <v>95</v>
      </c>
      <c r="N426" s="20" t="str">
        <f>IF(OR(LEFT('Web Links'!$C426,2)="In",$C426="Error"),"?????",""&amp;C426)</f>
        <v>?????</v>
      </c>
      <c r="O426" s="20" t="str">
        <f>IF(OR(LEFT('Web Links'!$C426,2)="In",$C426="Error"),"??????????",""&amp;D426)</f>
        <v>??????????</v>
      </c>
      <c r="P426" s="20" t="str">
        <f>IF(OR(LEFT('Web Links'!$C426,2)="In",$C426="Error"),"???",IF(LEN(E426)=2,"0",IF(LEN(E426)=1,"00","")))&amp;'Web Links'!E426</f>
        <v>???</v>
      </c>
      <c r="Q426" s="20" t="str">
        <f>IF(OR(LEFT('Web Links'!$C426,2)="In",$C426="Error"),"?????",IF(LEN(G426)=4,"",IF(LEN(G426)=3,"",IF(LEN(G426)=2,"",IF(LEN(G426)=1,"",""))))&amp;'Web Links'!G426)</f>
        <v>?????</v>
      </c>
      <c r="R426" s="20" t="str">
        <f>IF(OR(LEFT('Web Links'!$C426,2)="In",$C426="Error"),"???????????????",""&amp;F426)</f>
        <v>???????????????</v>
      </c>
    </row>
    <row r="427" spans="1:18" x14ac:dyDescent="0.2">
      <c r="A427" s="20">
        <f>IF('GL Template'!B441&lt;&gt;"",'GL Template'!B441,0)</f>
        <v>0</v>
      </c>
      <c r="B427" s="20">
        <f>IF('GL Template'!D441&lt;&gt;"",'GL Template'!D441,0)</f>
        <v>0</v>
      </c>
      <c r="C427" s="20" t="s">
        <v>95</v>
      </c>
      <c r="N427" s="20" t="str">
        <f>IF(OR(LEFT('Web Links'!$C427,2)="In",$C427="Error"),"?????",""&amp;C427)</f>
        <v>?????</v>
      </c>
      <c r="O427" s="20" t="str">
        <f>IF(OR(LEFT('Web Links'!$C427,2)="In",$C427="Error"),"??????????",""&amp;D427)</f>
        <v>??????????</v>
      </c>
      <c r="P427" s="20" t="str">
        <f>IF(OR(LEFT('Web Links'!$C427,2)="In",$C427="Error"),"???",IF(LEN(E427)=2,"0",IF(LEN(E427)=1,"00","")))&amp;'Web Links'!E427</f>
        <v>???</v>
      </c>
      <c r="Q427" s="20" t="str">
        <f>IF(OR(LEFT('Web Links'!$C427,2)="In",$C427="Error"),"?????",IF(LEN(G427)=4,"",IF(LEN(G427)=3,"",IF(LEN(G427)=2,"",IF(LEN(G427)=1,"",""))))&amp;'Web Links'!G427)</f>
        <v>?????</v>
      </c>
      <c r="R427" s="20" t="str">
        <f>IF(OR(LEFT('Web Links'!$C427,2)="In",$C427="Error"),"???????????????",""&amp;F427)</f>
        <v>???????????????</v>
      </c>
    </row>
    <row r="428" spans="1:18" x14ac:dyDescent="0.2">
      <c r="A428" s="20">
        <f>IF('GL Template'!B442&lt;&gt;"",'GL Template'!B442,0)</f>
        <v>0</v>
      </c>
      <c r="B428" s="20">
        <f>IF('GL Template'!D442&lt;&gt;"",'GL Template'!D442,0)</f>
        <v>0</v>
      </c>
      <c r="C428" s="20" t="s">
        <v>95</v>
      </c>
      <c r="N428" s="20" t="str">
        <f>IF(OR(LEFT('Web Links'!$C428,2)="In",$C428="Error"),"?????",""&amp;C428)</f>
        <v>?????</v>
      </c>
      <c r="O428" s="20" t="str">
        <f>IF(OR(LEFT('Web Links'!$C428,2)="In",$C428="Error"),"??????????",""&amp;D428)</f>
        <v>??????????</v>
      </c>
      <c r="P428" s="20" t="str">
        <f>IF(OR(LEFT('Web Links'!$C428,2)="In",$C428="Error"),"???",IF(LEN(E428)=2,"0",IF(LEN(E428)=1,"00","")))&amp;'Web Links'!E428</f>
        <v>???</v>
      </c>
      <c r="Q428" s="20" t="str">
        <f>IF(OR(LEFT('Web Links'!$C428,2)="In",$C428="Error"),"?????",IF(LEN(G428)=4,"",IF(LEN(G428)=3,"",IF(LEN(G428)=2,"",IF(LEN(G428)=1,"",""))))&amp;'Web Links'!G428)</f>
        <v>?????</v>
      </c>
      <c r="R428" s="20" t="str">
        <f>IF(OR(LEFT('Web Links'!$C428,2)="In",$C428="Error"),"???????????????",""&amp;F428)</f>
        <v>???????????????</v>
      </c>
    </row>
    <row r="429" spans="1:18" x14ac:dyDescent="0.2">
      <c r="A429" s="20">
        <f>IF('GL Template'!B443&lt;&gt;"",'GL Template'!B443,0)</f>
        <v>0</v>
      </c>
      <c r="B429" s="20">
        <f>IF('GL Template'!D443&lt;&gt;"",'GL Template'!D443,0)</f>
        <v>0</v>
      </c>
      <c r="C429" s="20" t="s">
        <v>95</v>
      </c>
      <c r="N429" s="20" t="str">
        <f>IF(OR(LEFT('Web Links'!$C429,2)="In",$C429="Error"),"?????",""&amp;C429)</f>
        <v>?????</v>
      </c>
      <c r="O429" s="20" t="str">
        <f>IF(OR(LEFT('Web Links'!$C429,2)="In",$C429="Error"),"??????????",""&amp;D429)</f>
        <v>??????????</v>
      </c>
      <c r="P429" s="20" t="str">
        <f>IF(OR(LEFT('Web Links'!$C429,2)="In",$C429="Error"),"???",IF(LEN(E429)=2,"0",IF(LEN(E429)=1,"00","")))&amp;'Web Links'!E429</f>
        <v>???</v>
      </c>
      <c r="Q429" s="20" t="str">
        <f>IF(OR(LEFT('Web Links'!$C429,2)="In",$C429="Error"),"?????",IF(LEN(G429)=4,"",IF(LEN(G429)=3,"",IF(LEN(G429)=2,"",IF(LEN(G429)=1,"",""))))&amp;'Web Links'!G429)</f>
        <v>?????</v>
      </c>
      <c r="R429" s="20" t="str">
        <f>IF(OR(LEFT('Web Links'!$C429,2)="In",$C429="Error"),"???????????????",""&amp;F429)</f>
        <v>???????????????</v>
      </c>
    </row>
    <row r="430" spans="1:18" x14ac:dyDescent="0.2">
      <c r="A430" s="20">
        <f>IF('GL Template'!B444&lt;&gt;"",'GL Template'!B444,0)</f>
        <v>0</v>
      </c>
      <c r="B430" s="20">
        <f>IF('GL Template'!D444&lt;&gt;"",'GL Template'!D444,0)</f>
        <v>0</v>
      </c>
      <c r="C430" s="20" t="s">
        <v>95</v>
      </c>
      <c r="N430" s="20" t="str">
        <f>IF(OR(LEFT('Web Links'!$C430,2)="In",$C430="Error"),"?????",""&amp;C430)</f>
        <v>?????</v>
      </c>
      <c r="O430" s="20" t="str">
        <f>IF(OR(LEFT('Web Links'!$C430,2)="In",$C430="Error"),"??????????",""&amp;D430)</f>
        <v>??????????</v>
      </c>
      <c r="P430" s="20" t="str">
        <f>IF(OR(LEFT('Web Links'!$C430,2)="In",$C430="Error"),"???",IF(LEN(E430)=2,"0",IF(LEN(E430)=1,"00","")))&amp;'Web Links'!E430</f>
        <v>???</v>
      </c>
      <c r="Q430" s="20" t="str">
        <f>IF(OR(LEFT('Web Links'!$C430,2)="In",$C430="Error"),"?????",IF(LEN(G430)=4,"",IF(LEN(G430)=3,"",IF(LEN(G430)=2,"",IF(LEN(G430)=1,"",""))))&amp;'Web Links'!G430)</f>
        <v>?????</v>
      </c>
      <c r="R430" s="20" t="str">
        <f>IF(OR(LEFT('Web Links'!$C430,2)="In",$C430="Error"),"???????????????",""&amp;F430)</f>
        <v>???????????????</v>
      </c>
    </row>
    <row r="431" spans="1:18" x14ac:dyDescent="0.2">
      <c r="A431" s="20">
        <f>IF('GL Template'!B445&lt;&gt;"",'GL Template'!B445,0)</f>
        <v>0</v>
      </c>
      <c r="B431" s="20">
        <f>IF('GL Template'!D445&lt;&gt;"",'GL Template'!D445,0)</f>
        <v>0</v>
      </c>
      <c r="C431" s="20" t="s">
        <v>95</v>
      </c>
      <c r="N431" s="20" t="str">
        <f>IF(OR(LEFT('Web Links'!$C431,2)="In",$C431="Error"),"?????",""&amp;C431)</f>
        <v>?????</v>
      </c>
      <c r="O431" s="20" t="str">
        <f>IF(OR(LEFT('Web Links'!$C431,2)="In",$C431="Error"),"??????????",""&amp;D431)</f>
        <v>??????????</v>
      </c>
      <c r="P431" s="20" t="str">
        <f>IF(OR(LEFT('Web Links'!$C431,2)="In",$C431="Error"),"???",IF(LEN(E431)=2,"0",IF(LEN(E431)=1,"00","")))&amp;'Web Links'!E431</f>
        <v>???</v>
      </c>
      <c r="Q431" s="20" t="str">
        <f>IF(OR(LEFT('Web Links'!$C431,2)="In",$C431="Error"),"?????",IF(LEN(G431)=4,"",IF(LEN(G431)=3,"",IF(LEN(G431)=2,"",IF(LEN(G431)=1,"",""))))&amp;'Web Links'!G431)</f>
        <v>?????</v>
      </c>
      <c r="R431" s="20" t="str">
        <f>IF(OR(LEFT('Web Links'!$C431,2)="In",$C431="Error"),"???????????????",""&amp;F431)</f>
        <v>???????????????</v>
      </c>
    </row>
    <row r="432" spans="1:18" x14ac:dyDescent="0.2">
      <c r="A432" s="20">
        <f>IF('GL Template'!B446&lt;&gt;"",'GL Template'!B446,0)</f>
        <v>0</v>
      </c>
      <c r="B432" s="20">
        <f>IF('GL Template'!D446&lt;&gt;"",'GL Template'!D446,0)</f>
        <v>0</v>
      </c>
      <c r="C432" s="20" t="s">
        <v>95</v>
      </c>
      <c r="N432" s="20" t="str">
        <f>IF(OR(LEFT('Web Links'!$C432,2)="In",$C432="Error"),"?????",""&amp;C432)</f>
        <v>?????</v>
      </c>
      <c r="O432" s="20" t="str">
        <f>IF(OR(LEFT('Web Links'!$C432,2)="In",$C432="Error"),"??????????",""&amp;D432)</f>
        <v>??????????</v>
      </c>
      <c r="P432" s="20" t="str">
        <f>IF(OR(LEFT('Web Links'!$C432,2)="In",$C432="Error"),"???",IF(LEN(E432)=2,"0",IF(LEN(E432)=1,"00","")))&amp;'Web Links'!E432</f>
        <v>???</v>
      </c>
      <c r="Q432" s="20" t="str">
        <f>IF(OR(LEFT('Web Links'!$C432,2)="In",$C432="Error"),"?????",IF(LEN(G432)=4,"",IF(LEN(G432)=3,"",IF(LEN(G432)=2,"",IF(LEN(G432)=1,"",""))))&amp;'Web Links'!G432)</f>
        <v>?????</v>
      </c>
      <c r="R432" s="20" t="str">
        <f>IF(OR(LEFT('Web Links'!$C432,2)="In",$C432="Error"),"???????????????",""&amp;F432)</f>
        <v>???????????????</v>
      </c>
    </row>
    <row r="433" spans="1:18" x14ac:dyDescent="0.2">
      <c r="A433" s="20">
        <f>IF('GL Template'!B447&lt;&gt;"",'GL Template'!B447,0)</f>
        <v>0</v>
      </c>
      <c r="B433" s="20">
        <f>IF('GL Template'!D447&lt;&gt;"",'GL Template'!D447,0)</f>
        <v>0</v>
      </c>
      <c r="C433" s="20" t="s">
        <v>95</v>
      </c>
      <c r="N433" s="20" t="str">
        <f>IF(OR(LEFT('Web Links'!$C433,2)="In",$C433="Error"),"?????",""&amp;C433)</f>
        <v>?????</v>
      </c>
      <c r="O433" s="20" t="str">
        <f>IF(OR(LEFT('Web Links'!$C433,2)="In",$C433="Error"),"??????????",""&amp;D433)</f>
        <v>??????????</v>
      </c>
      <c r="P433" s="20" t="str">
        <f>IF(OR(LEFT('Web Links'!$C433,2)="In",$C433="Error"),"???",IF(LEN(E433)=2,"0",IF(LEN(E433)=1,"00","")))&amp;'Web Links'!E433</f>
        <v>???</v>
      </c>
      <c r="Q433" s="20" t="str">
        <f>IF(OR(LEFT('Web Links'!$C433,2)="In",$C433="Error"),"?????",IF(LEN(G433)=4,"",IF(LEN(G433)=3,"",IF(LEN(G433)=2,"",IF(LEN(G433)=1,"",""))))&amp;'Web Links'!G433)</f>
        <v>?????</v>
      </c>
      <c r="R433" s="20" t="str">
        <f>IF(OR(LEFT('Web Links'!$C433,2)="In",$C433="Error"),"???????????????",""&amp;F433)</f>
        <v>???????????????</v>
      </c>
    </row>
    <row r="434" spans="1:18" x14ac:dyDescent="0.2">
      <c r="A434" s="20">
        <f>IF('GL Template'!B448&lt;&gt;"",'GL Template'!B448,0)</f>
        <v>0</v>
      </c>
      <c r="B434" s="20">
        <f>IF('GL Template'!D448&lt;&gt;"",'GL Template'!D448,0)</f>
        <v>0</v>
      </c>
      <c r="C434" s="20" t="s">
        <v>95</v>
      </c>
      <c r="N434" s="20" t="str">
        <f>IF(OR(LEFT('Web Links'!$C434,2)="In",$C434="Error"),"?????",""&amp;C434)</f>
        <v>?????</v>
      </c>
      <c r="O434" s="20" t="str">
        <f>IF(OR(LEFT('Web Links'!$C434,2)="In",$C434="Error"),"??????????",""&amp;D434)</f>
        <v>??????????</v>
      </c>
      <c r="P434" s="20" t="str">
        <f>IF(OR(LEFT('Web Links'!$C434,2)="In",$C434="Error"),"???",IF(LEN(E434)=2,"0",IF(LEN(E434)=1,"00","")))&amp;'Web Links'!E434</f>
        <v>???</v>
      </c>
      <c r="Q434" s="20" t="str">
        <f>IF(OR(LEFT('Web Links'!$C434,2)="In",$C434="Error"),"?????",IF(LEN(G434)=4,"",IF(LEN(G434)=3,"",IF(LEN(G434)=2,"",IF(LEN(G434)=1,"",""))))&amp;'Web Links'!G434)</f>
        <v>?????</v>
      </c>
      <c r="R434" s="20" t="str">
        <f>IF(OR(LEFT('Web Links'!$C434,2)="In",$C434="Error"),"???????????????",""&amp;F434)</f>
        <v>???????????????</v>
      </c>
    </row>
    <row r="435" spans="1:18" x14ac:dyDescent="0.2">
      <c r="A435" s="20">
        <f>IF('GL Template'!B449&lt;&gt;"",'GL Template'!B449,0)</f>
        <v>0</v>
      </c>
      <c r="B435" s="20">
        <f>IF('GL Template'!D449&lt;&gt;"",'GL Template'!D449,0)</f>
        <v>0</v>
      </c>
      <c r="C435" s="20" t="s">
        <v>95</v>
      </c>
      <c r="N435" s="20" t="str">
        <f>IF(OR(LEFT('Web Links'!$C435,2)="In",$C435="Error"),"?????",""&amp;C435)</f>
        <v>?????</v>
      </c>
      <c r="O435" s="20" t="str">
        <f>IF(OR(LEFT('Web Links'!$C435,2)="In",$C435="Error"),"??????????",""&amp;D435)</f>
        <v>??????????</v>
      </c>
      <c r="P435" s="20" t="str">
        <f>IF(OR(LEFT('Web Links'!$C435,2)="In",$C435="Error"),"???",IF(LEN(E435)=2,"0",IF(LEN(E435)=1,"00","")))&amp;'Web Links'!E435</f>
        <v>???</v>
      </c>
      <c r="Q435" s="20" t="str">
        <f>IF(OR(LEFT('Web Links'!$C435,2)="In",$C435="Error"),"?????",IF(LEN(G435)=4,"",IF(LEN(G435)=3,"",IF(LEN(G435)=2,"",IF(LEN(G435)=1,"",""))))&amp;'Web Links'!G435)</f>
        <v>?????</v>
      </c>
      <c r="R435" s="20" t="str">
        <f>IF(OR(LEFT('Web Links'!$C435,2)="In",$C435="Error"),"???????????????",""&amp;F435)</f>
        <v>???????????????</v>
      </c>
    </row>
    <row r="436" spans="1:18" x14ac:dyDescent="0.2">
      <c r="A436" s="20">
        <f>IF('GL Template'!B450&lt;&gt;"",'GL Template'!B450,0)</f>
        <v>0</v>
      </c>
      <c r="B436" s="20">
        <f>IF('GL Template'!D450&lt;&gt;"",'GL Template'!D450,0)</f>
        <v>0</v>
      </c>
      <c r="C436" s="20" t="s">
        <v>95</v>
      </c>
      <c r="N436" s="20" t="str">
        <f>IF(OR(LEFT('Web Links'!$C436,2)="In",$C436="Error"),"?????",""&amp;C436)</f>
        <v>?????</v>
      </c>
      <c r="O436" s="20" t="str">
        <f>IF(OR(LEFT('Web Links'!$C436,2)="In",$C436="Error"),"??????????",""&amp;D436)</f>
        <v>??????????</v>
      </c>
      <c r="P436" s="20" t="str">
        <f>IF(OR(LEFT('Web Links'!$C436,2)="In",$C436="Error"),"???",IF(LEN(E436)=2,"0",IF(LEN(E436)=1,"00","")))&amp;'Web Links'!E436</f>
        <v>???</v>
      </c>
      <c r="Q436" s="20" t="str">
        <f>IF(OR(LEFT('Web Links'!$C436,2)="In",$C436="Error"),"?????",IF(LEN(G436)=4,"",IF(LEN(G436)=3,"",IF(LEN(G436)=2,"",IF(LEN(G436)=1,"",""))))&amp;'Web Links'!G436)</f>
        <v>?????</v>
      </c>
      <c r="R436" s="20" t="str">
        <f>IF(OR(LEFT('Web Links'!$C436,2)="In",$C436="Error"),"???????????????",""&amp;F436)</f>
        <v>???????????????</v>
      </c>
    </row>
    <row r="437" spans="1:18" x14ac:dyDescent="0.2">
      <c r="A437" s="20">
        <f>IF('GL Template'!B451&lt;&gt;"",'GL Template'!B451,0)</f>
        <v>0</v>
      </c>
      <c r="B437" s="20">
        <f>IF('GL Template'!D451&lt;&gt;"",'GL Template'!D451,0)</f>
        <v>0</v>
      </c>
      <c r="C437" s="20" t="s">
        <v>95</v>
      </c>
      <c r="N437" s="20" t="str">
        <f>IF(OR(LEFT('Web Links'!$C437,2)="In",$C437="Error"),"?????",""&amp;C437)</f>
        <v>?????</v>
      </c>
      <c r="O437" s="20" t="str">
        <f>IF(OR(LEFT('Web Links'!$C437,2)="In",$C437="Error"),"??????????",""&amp;D437)</f>
        <v>??????????</v>
      </c>
      <c r="P437" s="20" t="str">
        <f>IF(OR(LEFT('Web Links'!$C437,2)="In",$C437="Error"),"???",IF(LEN(E437)=2,"0",IF(LEN(E437)=1,"00","")))&amp;'Web Links'!E437</f>
        <v>???</v>
      </c>
      <c r="Q437" s="20" t="str">
        <f>IF(OR(LEFT('Web Links'!$C437,2)="In",$C437="Error"),"?????",IF(LEN(G437)=4,"",IF(LEN(G437)=3,"",IF(LEN(G437)=2,"",IF(LEN(G437)=1,"",""))))&amp;'Web Links'!G437)</f>
        <v>?????</v>
      </c>
      <c r="R437" s="20" t="str">
        <f>IF(OR(LEFT('Web Links'!$C437,2)="In",$C437="Error"),"???????????????",""&amp;F437)</f>
        <v>???????????????</v>
      </c>
    </row>
    <row r="438" spans="1:18" x14ac:dyDescent="0.2">
      <c r="A438" s="20">
        <f>IF('GL Template'!B452&lt;&gt;"",'GL Template'!B452,0)</f>
        <v>0</v>
      </c>
      <c r="B438" s="20">
        <f>IF('GL Template'!D452&lt;&gt;"",'GL Template'!D452,0)</f>
        <v>0</v>
      </c>
      <c r="C438" s="20" t="s">
        <v>95</v>
      </c>
      <c r="N438" s="20" t="str">
        <f>IF(OR(LEFT('Web Links'!$C438,2)="In",$C438="Error"),"?????",""&amp;C438)</f>
        <v>?????</v>
      </c>
      <c r="O438" s="20" t="str">
        <f>IF(OR(LEFT('Web Links'!$C438,2)="In",$C438="Error"),"??????????",""&amp;D438)</f>
        <v>??????????</v>
      </c>
      <c r="P438" s="20" t="str">
        <f>IF(OR(LEFT('Web Links'!$C438,2)="In",$C438="Error"),"???",IF(LEN(E438)=2,"0",IF(LEN(E438)=1,"00","")))&amp;'Web Links'!E438</f>
        <v>???</v>
      </c>
      <c r="Q438" s="20" t="str">
        <f>IF(OR(LEFT('Web Links'!$C438,2)="In",$C438="Error"),"?????",IF(LEN(G438)=4,"",IF(LEN(G438)=3,"",IF(LEN(G438)=2,"",IF(LEN(G438)=1,"",""))))&amp;'Web Links'!G438)</f>
        <v>?????</v>
      </c>
      <c r="R438" s="20" t="str">
        <f>IF(OR(LEFT('Web Links'!$C438,2)="In",$C438="Error"),"???????????????",""&amp;F438)</f>
        <v>???????????????</v>
      </c>
    </row>
    <row r="439" spans="1:18" x14ac:dyDescent="0.2">
      <c r="A439" s="20">
        <f>IF('GL Template'!B453&lt;&gt;"",'GL Template'!B453,0)</f>
        <v>0</v>
      </c>
      <c r="B439" s="20">
        <f>IF('GL Template'!D453&lt;&gt;"",'GL Template'!D453,0)</f>
        <v>0</v>
      </c>
      <c r="C439" s="20" t="s">
        <v>95</v>
      </c>
      <c r="N439" s="20" t="str">
        <f>IF(OR(LEFT('Web Links'!$C439,2)="In",$C439="Error"),"?????",""&amp;C439)</f>
        <v>?????</v>
      </c>
      <c r="O439" s="20" t="str">
        <f>IF(OR(LEFT('Web Links'!$C439,2)="In",$C439="Error"),"??????????",""&amp;D439)</f>
        <v>??????????</v>
      </c>
      <c r="P439" s="20" t="str">
        <f>IF(OR(LEFT('Web Links'!$C439,2)="In",$C439="Error"),"???",IF(LEN(E439)=2,"0",IF(LEN(E439)=1,"00","")))&amp;'Web Links'!E439</f>
        <v>???</v>
      </c>
      <c r="Q439" s="20" t="str">
        <f>IF(OR(LEFT('Web Links'!$C439,2)="In",$C439="Error"),"?????",IF(LEN(G439)=4,"",IF(LEN(G439)=3,"",IF(LEN(G439)=2,"",IF(LEN(G439)=1,"",""))))&amp;'Web Links'!G439)</f>
        <v>?????</v>
      </c>
      <c r="R439" s="20" t="str">
        <f>IF(OR(LEFT('Web Links'!$C439,2)="In",$C439="Error"),"???????????????",""&amp;F439)</f>
        <v>???????????????</v>
      </c>
    </row>
    <row r="440" spans="1:18" x14ac:dyDescent="0.2">
      <c r="A440" s="20">
        <f>IF('GL Template'!B454&lt;&gt;"",'GL Template'!B454,0)</f>
        <v>0</v>
      </c>
      <c r="B440" s="20">
        <f>IF('GL Template'!D454&lt;&gt;"",'GL Template'!D454,0)</f>
        <v>0</v>
      </c>
      <c r="C440" s="20" t="s">
        <v>95</v>
      </c>
      <c r="N440" s="20" t="str">
        <f>IF(OR(LEFT('Web Links'!$C440,2)="In",$C440="Error"),"?????",""&amp;C440)</f>
        <v>?????</v>
      </c>
      <c r="O440" s="20" t="str">
        <f>IF(OR(LEFT('Web Links'!$C440,2)="In",$C440="Error"),"??????????",""&amp;D440)</f>
        <v>??????????</v>
      </c>
      <c r="P440" s="20" t="str">
        <f>IF(OR(LEFT('Web Links'!$C440,2)="In",$C440="Error"),"???",IF(LEN(E440)=2,"0",IF(LEN(E440)=1,"00","")))&amp;'Web Links'!E440</f>
        <v>???</v>
      </c>
      <c r="Q440" s="20" t="str">
        <f>IF(OR(LEFT('Web Links'!$C440,2)="In",$C440="Error"),"?????",IF(LEN(G440)=4,"",IF(LEN(G440)=3,"",IF(LEN(G440)=2,"",IF(LEN(G440)=1,"",""))))&amp;'Web Links'!G440)</f>
        <v>?????</v>
      </c>
      <c r="R440" s="20" t="str">
        <f>IF(OR(LEFT('Web Links'!$C440,2)="In",$C440="Error"),"???????????????",""&amp;F440)</f>
        <v>???????????????</v>
      </c>
    </row>
    <row r="441" spans="1:18" x14ac:dyDescent="0.2">
      <c r="A441" s="20">
        <f>IF('GL Template'!B455&lt;&gt;"",'GL Template'!B455,0)</f>
        <v>0</v>
      </c>
      <c r="B441" s="20">
        <f>IF('GL Template'!D455&lt;&gt;"",'GL Template'!D455,0)</f>
        <v>0</v>
      </c>
      <c r="C441" s="20" t="s">
        <v>95</v>
      </c>
      <c r="N441" s="20" t="str">
        <f>IF(OR(LEFT('Web Links'!$C441,2)="In",$C441="Error"),"?????",""&amp;C441)</f>
        <v>?????</v>
      </c>
      <c r="O441" s="20" t="str">
        <f>IF(OR(LEFT('Web Links'!$C441,2)="In",$C441="Error"),"??????????",""&amp;D441)</f>
        <v>??????????</v>
      </c>
      <c r="P441" s="20" t="str">
        <f>IF(OR(LEFT('Web Links'!$C441,2)="In",$C441="Error"),"???",IF(LEN(E441)=2,"0",IF(LEN(E441)=1,"00","")))&amp;'Web Links'!E441</f>
        <v>???</v>
      </c>
      <c r="Q441" s="20" t="str">
        <f>IF(OR(LEFT('Web Links'!$C441,2)="In",$C441="Error"),"?????",IF(LEN(G441)=4,"",IF(LEN(G441)=3,"",IF(LEN(G441)=2,"",IF(LEN(G441)=1,"",""))))&amp;'Web Links'!G441)</f>
        <v>?????</v>
      </c>
      <c r="R441" s="20" t="str">
        <f>IF(OR(LEFT('Web Links'!$C441,2)="In",$C441="Error"),"???????????????",""&amp;F441)</f>
        <v>???????????????</v>
      </c>
    </row>
    <row r="442" spans="1:18" x14ac:dyDescent="0.2">
      <c r="A442" s="20">
        <f>IF('GL Template'!B456&lt;&gt;"",'GL Template'!B456,0)</f>
        <v>0</v>
      </c>
      <c r="B442" s="20">
        <f>IF('GL Template'!D456&lt;&gt;"",'GL Template'!D456,0)</f>
        <v>0</v>
      </c>
      <c r="C442" s="20" t="s">
        <v>95</v>
      </c>
      <c r="N442" s="20" t="str">
        <f>IF(OR(LEFT('Web Links'!$C442,2)="In",$C442="Error"),"?????",""&amp;C442)</f>
        <v>?????</v>
      </c>
      <c r="O442" s="20" t="str">
        <f>IF(OR(LEFT('Web Links'!$C442,2)="In",$C442="Error"),"??????????",""&amp;D442)</f>
        <v>??????????</v>
      </c>
      <c r="P442" s="20" t="str">
        <f>IF(OR(LEFT('Web Links'!$C442,2)="In",$C442="Error"),"???",IF(LEN(E442)=2,"0",IF(LEN(E442)=1,"00","")))&amp;'Web Links'!E442</f>
        <v>???</v>
      </c>
      <c r="Q442" s="20" t="str">
        <f>IF(OR(LEFT('Web Links'!$C442,2)="In",$C442="Error"),"?????",IF(LEN(G442)=4,"",IF(LEN(G442)=3,"",IF(LEN(G442)=2,"",IF(LEN(G442)=1,"",""))))&amp;'Web Links'!G442)</f>
        <v>?????</v>
      </c>
      <c r="R442" s="20" t="str">
        <f>IF(OR(LEFT('Web Links'!$C442,2)="In",$C442="Error"),"???????????????",""&amp;F442)</f>
        <v>???????????????</v>
      </c>
    </row>
    <row r="443" spans="1:18" x14ac:dyDescent="0.2">
      <c r="A443" s="20">
        <f>IF('GL Template'!B457&lt;&gt;"",'GL Template'!B457,0)</f>
        <v>0</v>
      </c>
      <c r="B443" s="20">
        <f>IF('GL Template'!D457&lt;&gt;"",'GL Template'!D457,0)</f>
        <v>0</v>
      </c>
      <c r="C443" s="20" t="s">
        <v>95</v>
      </c>
      <c r="N443" s="20" t="str">
        <f>IF(OR(LEFT('Web Links'!$C443,2)="In",$C443="Error"),"?????",""&amp;C443)</f>
        <v>?????</v>
      </c>
      <c r="O443" s="20" t="str">
        <f>IF(OR(LEFT('Web Links'!$C443,2)="In",$C443="Error"),"??????????",""&amp;D443)</f>
        <v>??????????</v>
      </c>
      <c r="P443" s="20" t="str">
        <f>IF(OR(LEFT('Web Links'!$C443,2)="In",$C443="Error"),"???",IF(LEN(E443)=2,"0",IF(LEN(E443)=1,"00","")))&amp;'Web Links'!E443</f>
        <v>???</v>
      </c>
      <c r="Q443" s="20" t="str">
        <f>IF(OR(LEFT('Web Links'!$C443,2)="In",$C443="Error"),"?????",IF(LEN(G443)=4,"",IF(LEN(G443)=3,"",IF(LEN(G443)=2,"",IF(LEN(G443)=1,"",""))))&amp;'Web Links'!G443)</f>
        <v>?????</v>
      </c>
      <c r="R443" s="20" t="str">
        <f>IF(OR(LEFT('Web Links'!$C443,2)="In",$C443="Error"),"???????????????",""&amp;F443)</f>
        <v>???????????????</v>
      </c>
    </row>
    <row r="444" spans="1:18" x14ac:dyDescent="0.2">
      <c r="A444" s="20">
        <f>IF('GL Template'!B458&lt;&gt;"",'GL Template'!B458,0)</f>
        <v>0</v>
      </c>
      <c r="B444" s="20">
        <f>IF('GL Template'!D458&lt;&gt;"",'GL Template'!D458,0)</f>
        <v>0</v>
      </c>
      <c r="C444" s="20" t="s">
        <v>95</v>
      </c>
      <c r="N444" s="20" t="str">
        <f>IF(OR(LEFT('Web Links'!$C444,2)="In",$C444="Error"),"?????",""&amp;C444)</f>
        <v>?????</v>
      </c>
      <c r="O444" s="20" t="str">
        <f>IF(OR(LEFT('Web Links'!$C444,2)="In",$C444="Error"),"??????????",""&amp;D444)</f>
        <v>??????????</v>
      </c>
      <c r="P444" s="20" t="str">
        <f>IF(OR(LEFT('Web Links'!$C444,2)="In",$C444="Error"),"???",IF(LEN(E444)=2,"0",IF(LEN(E444)=1,"00","")))&amp;'Web Links'!E444</f>
        <v>???</v>
      </c>
      <c r="Q444" s="20" t="str">
        <f>IF(OR(LEFT('Web Links'!$C444,2)="In",$C444="Error"),"?????",IF(LEN(G444)=4,"",IF(LEN(G444)=3,"",IF(LEN(G444)=2,"",IF(LEN(G444)=1,"",""))))&amp;'Web Links'!G444)</f>
        <v>?????</v>
      </c>
      <c r="R444" s="20" t="str">
        <f>IF(OR(LEFT('Web Links'!$C444,2)="In",$C444="Error"),"???????????????",""&amp;F444)</f>
        <v>???????????????</v>
      </c>
    </row>
    <row r="445" spans="1:18" x14ac:dyDescent="0.2">
      <c r="A445" s="20">
        <f>IF('GL Template'!B459&lt;&gt;"",'GL Template'!B459,0)</f>
        <v>0</v>
      </c>
      <c r="B445" s="20">
        <f>IF('GL Template'!D459&lt;&gt;"",'GL Template'!D459,0)</f>
        <v>0</v>
      </c>
      <c r="C445" s="20" t="s">
        <v>95</v>
      </c>
      <c r="N445" s="20" t="str">
        <f>IF(OR(LEFT('Web Links'!$C445,2)="In",$C445="Error"),"?????",""&amp;C445)</f>
        <v>?????</v>
      </c>
      <c r="O445" s="20" t="str">
        <f>IF(OR(LEFT('Web Links'!$C445,2)="In",$C445="Error"),"??????????",""&amp;D445)</f>
        <v>??????????</v>
      </c>
      <c r="P445" s="20" t="str">
        <f>IF(OR(LEFT('Web Links'!$C445,2)="In",$C445="Error"),"???",IF(LEN(E445)=2,"0",IF(LEN(E445)=1,"00","")))&amp;'Web Links'!E445</f>
        <v>???</v>
      </c>
      <c r="Q445" s="20" t="str">
        <f>IF(OR(LEFT('Web Links'!$C445,2)="In",$C445="Error"),"?????",IF(LEN(G445)=4,"",IF(LEN(G445)=3,"",IF(LEN(G445)=2,"",IF(LEN(G445)=1,"",""))))&amp;'Web Links'!G445)</f>
        <v>?????</v>
      </c>
      <c r="R445" s="20" t="str">
        <f>IF(OR(LEFT('Web Links'!$C445,2)="In",$C445="Error"),"???????????????",""&amp;F445)</f>
        <v>???????????????</v>
      </c>
    </row>
    <row r="446" spans="1:18" x14ac:dyDescent="0.2">
      <c r="A446" s="20">
        <f>IF('GL Template'!B460&lt;&gt;"",'GL Template'!B460,0)</f>
        <v>0</v>
      </c>
      <c r="B446" s="20">
        <f>IF('GL Template'!D460&lt;&gt;"",'GL Template'!D460,0)</f>
        <v>0</v>
      </c>
      <c r="C446" s="20" t="s">
        <v>95</v>
      </c>
      <c r="N446" s="20" t="str">
        <f>IF(OR(LEFT('Web Links'!$C446,2)="In",$C446="Error"),"?????",""&amp;C446)</f>
        <v>?????</v>
      </c>
      <c r="O446" s="20" t="str">
        <f>IF(OR(LEFT('Web Links'!$C446,2)="In",$C446="Error"),"??????????",""&amp;D446)</f>
        <v>??????????</v>
      </c>
      <c r="P446" s="20" t="str">
        <f>IF(OR(LEFT('Web Links'!$C446,2)="In",$C446="Error"),"???",IF(LEN(E446)=2,"0",IF(LEN(E446)=1,"00","")))&amp;'Web Links'!E446</f>
        <v>???</v>
      </c>
      <c r="Q446" s="20" t="str">
        <f>IF(OR(LEFT('Web Links'!$C446,2)="In",$C446="Error"),"?????",IF(LEN(G446)=4,"",IF(LEN(G446)=3,"",IF(LEN(G446)=2,"",IF(LEN(G446)=1,"",""))))&amp;'Web Links'!G446)</f>
        <v>?????</v>
      </c>
      <c r="R446" s="20" t="str">
        <f>IF(OR(LEFT('Web Links'!$C446,2)="In",$C446="Error"),"???????????????",""&amp;F446)</f>
        <v>???????????????</v>
      </c>
    </row>
    <row r="447" spans="1:18" x14ac:dyDescent="0.2">
      <c r="A447" s="20">
        <f>IF('GL Template'!B461&lt;&gt;"",'GL Template'!B461,0)</f>
        <v>0</v>
      </c>
      <c r="B447" s="20">
        <f>IF('GL Template'!D461&lt;&gt;"",'GL Template'!D461,0)</f>
        <v>0</v>
      </c>
      <c r="C447" s="20" t="s">
        <v>95</v>
      </c>
      <c r="N447" s="20" t="str">
        <f>IF(OR(LEFT('Web Links'!$C447,2)="In",$C447="Error"),"?????",""&amp;C447)</f>
        <v>?????</v>
      </c>
      <c r="O447" s="20" t="str">
        <f>IF(OR(LEFT('Web Links'!$C447,2)="In",$C447="Error"),"??????????",""&amp;D447)</f>
        <v>??????????</v>
      </c>
      <c r="P447" s="20" t="str">
        <f>IF(OR(LEFT('Web Links'!$C447,2)="In",$C447="Error"),"???",IF(LEN(E447)=2,"0",IF(LEN(E447)=1,"00","")))&amp;'Web Links'!E447</f>
        <v>???</v>
      </c>
      <c r="Q447" s="20" t="str">
        <f>IF(OR(LEFT('Web Links'!$C447,2)="In",$C447="Error"),"?????",IF(LEN(G447)=4,"",IF(LEN(G447)=3,"",IF(LEN(G447)=2,"",IF(LEN(G447)=1,"",""))))&amp;'Web Links'!G447)</f>
        <v>?????</v>
      </c>
      <c r="R447" s="20" t="str">
        <f>IF(OR(LEFT('Web Links'!$C447,2)="In",$C447="Error"),"???????????????",""&amp;F447)</f>
        <v>???????????????</v>
      </c>
    </row>
    <row r="448" spans="1:18" x14ac:dyDescent="0.2">
      <c r="A448" s="20">
        <f>IF('GL Template'!B462&lt;&gt;"",'GL Template'!B462,0)</f>
        <v>0</v>
      </c>
      <c r="B448" s="20">
        <f>IF('GL Template'!D462&lt;&gt;"",'GL Template'!D462,0)</f>
        <v>0</v>
      </c>
      <c r="C448" s="20" t="s">
        <v>95</v>
      </c>
      <c r="N448" s="20" t="str">
        <f>IF(OR(LEFT('Web Links'!$C448,2)="In",$C448="Error"),"?????",""&amp;C448)</f>
        <v>?????</v>
      </c>
      <c r="O448" s="20" t="str">
        <f>IF(OR(LEFT('Web Links'!$C448,2)="In",$C448="Error"),"??????????",""&amp;D448)</f>
        <v>??????????</v>
      </c>
      <c r="P448" s="20" t="str">
        <f>IF(OR(LEFT('Web Links'!$C448,2)="In",$C448="Error"),"???",IF(LEN(E448)=2,"0",IF(LEN(E448)=1,"00","")))&amp;'Web Links'!E448</f>
        <v>???</v>
      </c>
      <c r="Q448" s="20" t="str">
        <f>IF(OR(LEFT('Web Links'!$C448,2)="In",$C448="Error"),"?????",IF(LEN(G448)=4,"",IF(LEN(G448)=3,"",IF(LEN(G448)=2,"",IF(LEN(G448)=1,"",""))))&amp;'Web Links'!G448)</f>
        <v>?????</v>
      </c>
      <c r="R448" s="20" t="str">
        <f>IF(OR(LEFT('Web Links'!$C448,2)="In",$C448="Error"),"???????????????",""&amp;F448)</f>
        <v>???????????????</v>
      </c>
    </row>
    <row r="449" spans="1:18" x14ac:dyDescent="0.2">
      <c r="A449" s="20">
        <f>IF('GL Template'!B463&lt;&gt;"",'GL Template'!B463,0)</f>
        <v>0</v>
      </c>
      <c r="B449" s="20">
        <f>IF('GL Template'!D463&lt;&gt;"",'GL Template'!D463,0)</f>
        <v>0</v>
      </c>
      <c r="C449" s="20" t="s">
        <v>95</v>
      </c>
      <c r="N449" s="20" t="str">
        <f>IF(OR(LEFT('Web Links'!$C449,2)="In",$C449="Error"),"?????",""&amp;C449)</f>
        <v>?????</v>
      </c>
      <c r="O449" s="20" t="str">
        <f>IF(OR(LEFT('Web Links'!$C449,2)="In",$C449="Error"),"??????????",""&amp;D449)</f>
        <v>??????????</v>
      </c>
      <c r="P449" s="20" t="str">
        <f>IF(OR(LEFT('Web Links'!$C449,2)="In",$C449="Error"),"???",IF(LEN(E449)=2,"0",IF(LEN(E449)=1,"00","")))&amp;'Web Links'!E449</f>
        <v>???</v>
      </c>
      <c r="Q449" s="20" t="str">
        <f>IF(OR(LEFT('Web Links'!$C449,2)="In",$C449="Error"),"?????",IF(LEN(G449)=4,"",IF(LEN(G449)=3,"",IF(LEN(G449)=2,"",IF(LEN(G449)=1,"",""))))&amp;'Web Links'!G449)</f>
        <v>?????</v>
      </c>
      <c r="R449" s="20" t="str">
        <f>IF(OR(LEFT('Web Links'!$C449,2)="In",$C449="Error"),"???????????????",""&amp;F449)</f>
        <v>???????????????</v>
      </c>
    </row>
    <row r="450" spans="1:18" x14ac:dyDescent="0.2">
      <c r="A450" s="20">
        <f>IF('GL Template'!B464&lt;&gt;"",'GL Template'!B464,0)</f>
        <v>0</v>
      </c>
      <c r="B450" s="20">
        <f>IF('GL Template'!D464&lt;&gt;"",'GL Template'!D464,0)</f>
        <v>0</v>
      </c>
      <c r="C450" s="20" t="s">
        <v>95</v>
      </c>
      <c r="N450" s="20" t="str">
        <f>IF(OR(LEFT('Web Links'!$C450,2)="In",$C450="Error"),"?????",""&amp;C450)</f>
        <v>?????</v>
      </c>
      <c r="O450" s="20" t="str">
        <f>IF(OR(LEFT('Web Links'!$C450,2)="In",$C450="Error"),"??????????",""&amp;D450)</f>
        <v>??????????</v>
      </c>
      <c r="P450" s="20" t="str">
        <f>IF(OR(LEFT('Web Links'!$C450,2)="In",$C450="Error"),"???",IF(LEN(E450)=2,"0",IF(LEN(E450)=1,"00","")))&amp;'Web Links'!E450</f>
        <v>???</v>
      </c>
      <c r="Q450" s="20" t="str">
        <f>IF(OR(LEFT('Web Links'!$C450,2)="In",$C450="Error"),"?????",IF(LEN(G450)=4,"",IF(LEN(G450)=3,"",IF(LEN(G450)=2,"",IF(LEN(G450)=1,"",""))))&amp;'Web Links'!G450)</f>
        <v>?????</v>
      </c>
      <c r="R450" s="20" t="str">
        <f>IF(OR(LEFT('Web Links'!$C450,2)="In",$C450="Error"),"???????????????",""&amp;F450)</f>
        <v>???????????????</v>
      </c>
    </row>
    <row r="451" spans="1:18" x14ac:dyDescent="0.2">
      <c r="A451" s="20">
        <f>IF('GL Template'!B465&lt;&gt;"",'GL Template'!B465,0)</f>
        <v>0</v>
      </c>
      <c r="B451" s="20">
        <f>IF('GL Template'!D465&lt;&gt;"",'GL Template'!D465,0)</f>
        <v>0</v>
      </c>
      <c r="C451" s="20" t="s">
        <v>95</v>
      </c>
      <c r="N451" s="20" t="str">
        <f>IF(OR(LEFT('Web Links'!$C451,2)="In",$C451="Error"),"?????",""&amp;C451)</f>
        <v>?????</v>
      </c>
      <c r="O451" s="20" t="str">
        <f>IF(OR(LEFT('Web Links'!$C451,2)="In",$C451="Error"),"??????????",""&amp;D451)</f>
        <v>??????????</v>
      </c>
      <c r="P451" s="20" t="str">
        <f>IF(OR(LEFT('Web Links'!$C451,2)="In",$C451="Error"),"???",IF(LEN(E451)=2,"0",IF(LEN(E451)=1,"00","")))&amp;'Web Links'!E451</f>
        <v>???</v>
      </c>
      <c r="Q451" s="20" t="str">
        <f>IF(OR(LEFT('Web Links'!$C451,2)="In",$C451="Error"),"?????",IF(LEN(G451)=4,"",IF(LEN(G451)=3,"",IF(LEN(G451)=2,"",IF(LEN(G451)=1,"",""))))&amp;'Web Links'!G451)</f>
        <v>?????</v>
      </c>
      <c r="R451" s="20" t="str">
        <f>IF(OR(LEFT('Web Links'!$C451,2)="In",$C451="Error"),"???????????????",""&amp;F451)</f>
        <v>???????????????</v>
      </c>
    </row>
    <row r="452" spans="1:18" x14ac:dyDescent="0.2">
      <c r="A452" s="20">
        <f>IF('GL Template'!B466&lt;&gt;"",'GL Template'!B466,0)</f>
        <v>0</v>
      </c>
      <c r="B452" s="20">
        <f>IF('GL Template'!D466&lt;&gt;"",'GL Template'!D466,0)</f>
        <v>0</v>
      </c>
      <c r="C452" s="20" t="s">
        <v>95</v>
      </c>
      <c r="N452" s="20" t="str">
        <f>IF(OR(LEFT('Web Links'!$C452,2)="In",$C452="Error"),"?????",""&amp;C452)</f>
        <v>?????</v>
      </c>
      <c r="O452" s="20" t="str">
        <f>IF(OR(LEFT('Web Links'!$C452,2)="In",$C452="Error"),"??????????",""&amp;D452)</f>
        <v>??????????</v>
      </c>
      <c r="P452" s="20" t="str">
        <f>IF(OR(LEFT('Web Links'!$C452,2)="In",$C452="Error"),"???",IF(LEN(E452)=2,"0",IF(LEN(E452)=1,"00","")))&amp;'Web Links'!E452</f>
        <v>???</v>
      </c>
      <c r="Q452" s="20" t="str">
        <f>IF(OR(LEFT('Web Links'!$C452,2)="In",$C452="Error"),"?????",IF(LEN(G452)=4,"",IF(LEN(G452)=3,"",IF(LEN(G452)=2,"",IF(LEN(G452)=1,"",""))))&amp;'Web Links'!G452)</f>
        <v>?????</v>
      </c>
      <c r="R452" s="20" t="str">
        <f>IF(OR(LEFT('Web Links'!$C452,2)="In",$C452="Error"),"???????????????",""&amp;F452)</f>
        <v>???????????????</v>
      </c>
    </row>
    <row r="453" spans="1:18" x14ac:dyDescent="0.2">
      <c r="A453" s="20">
        <f>IF('GL Template'!B467&lt;&gt;"",'GL Template'!B467,0)</f>
        <v>0</v>
      </c>
      <c r="B453" s="20">
        <f>IF('GL Template'!D467&lt;&gt;"",'GL Template'!D467,0)</f>
        <v>0</v>
      </c>
      <c r="C453" s="20" t="s">
        <v>95</v>
      </c>
      <c r="N453" s="20" t="str">
        <f>IF(OR(LEFT('Web Links'!$C453,2)="In",$C453="Error"),"?????",""&amp;C453)</f>
        <v>?????</v>
      </c>
      <c r="O453" s="20" t="str">
        <f>IF(OR(LEFT('Web Links'!$C453,2)="In",$C453="Error"),"??????????",""&amp;D453)</f>
        <v>??????????</v>
      </c>
      <c r="P453" s="20" t="str">
        <f>IF(OR(LEFT('Web Links'!$C453,2)="In",$C453="Error"),"???",IF(LEN(E453)=2,"0",IF(LEN(E453)=1,"00","")))&amp;'Web Links'!E453</f>
        <v>???</v>
      </c>
      <c r="Q453" s="20" t="str">
        <f>IF(OR(LEFT('Web Links'!$C453,2)="In",$C453="Error"),"?????",IF(LEN(G453)=4,"",IF(LEN(G453)=3,"",IF(LEN(G453)=2,"",IF(LEN(G453)=1,"",""))))&amp;'Web Links'!G453)</f>
        <v>?????</v>
      </c>
      <c r="R453" s="20" t="str">
        <f>IF(OR(LEFT('Web Links'!$C453,2)="In",$C453="Error"),"???????????????",""&amp;F453)</f>
        <v>???????????????</v>
      </c>
    </row>
    <row r="454" spans="1:18" x14ac:dyDescent="0.2">
      <c r="A454" s="20">
        <f>IF('GL Template'!B468&lt;&gt;"",'GL Template'!B468,0)</f>
        <v>0</v>
      </c>
      <c r="B454" s="20">
        <f>IF('GL Template'!D468&lt;&gt;"",'GL Template'!D468,0)</f>
        <v>0</v>
      </c>
      <c r="C454" s="20" t="s">
        <v>95</v>
      </c>
      <c r="N454" s="20" t="str">
        <f>IF(OR(LEFT('Web Links'!$C454,2)="In",$C454="Error"),"?????",""&amp;C454)</f>
        <v>?????</v>
      </c>
      <c r="O454" s="20" t="str">
        <f>IF(OR(LEFT('Web Links'!$C454,2)="In",$C454="Error"),"??????????",""&amp;D454)</f>
        <v>??????????</v>
      </c>
      <c r="P454" s="20" t="str">
        <f>IF(OR(LEFT('Web Links'!$C454,2)="In",$C454="Error"),"???",IF(LEN(E454)=2,"0",IF(LEN(E454)=1,"00","")))&amp;'Web Links'!E454</f>
        <v>???</v>
      </c>
      <c r="Q454" s="20" t="str">
        <f>IF(OR(LEFT('Web Links'!$C454,2)="In",$C454="Error"),"?????",IF(LEN(G454)=4,"",IF(LEN(G454)=3,"",IF(LEN(G454)=2,"",IF(LEN(G454)=1,"",""))))&amp;'Web Links'!G454)</f>
        <v>?????</v>
      </c>
      <c r="R454" s="20" t="str">
        <f>IF(OR(LEFT('Web Links'!$C454,2)="In",$C454="Error"),"???????????????",""&amp;F454)</f>
        <v>???????????????</v>
      </c>
    </row>
    <row r="455" spans="1:18" x14ac:dyDescent="0.2">
      <c r="A455" s="20">
        <f>IF('GL Template'!B469&lt;&gt;"",'GL Template'!B469,0)</f>
        <v>0</v>
      </c>
      <c r="B455" s="20">
        <f>IF('GL Template'!D469&lt;&gt;"",'GL Template'!D469,0)</f>
        <v>0</v>
      </c>
      <c r="C455" s="20" t="s">
        <v>95</v>
      </c>
      <c r="N455" s="20" t="str">
        <f>IF(OR(LEFT('Web Links'!$C455,2)="In",$C455="Error"),"?????",""&amp;C455)</f>
        <v>?????</v>
      </c>
      <c r="O455" s="20" t="str">
        <f>IF(OR(LEFT('Web Links'!$C455,2)="In",$C455="Error"),"??????????",""&amp;D455)</f>
        <v>??????????</v>
      </c>
      <c r="P455" s="20" t="str">
        <f>IF(OR(LEFT('Web Links'!$C455,2)="In",$C455="Error"),"???",IF(LEN(E455)=2,"0",IF(LEN(E455)=1,"00","")))&amp;'Web Links'!E455</f>
        <v>???</v>
      </c>
      <c r="Q455" s="20" t="str">
        <f>IF(OR(LEFT('Web Links'!$C455,2)="In",$C455="Error"),"?????",IF(LEN(G455)=4,"",IF(LEN(G455)=3,"",IF(LEN(G455)=2,"",IF(LEN(G455)=1,"",""))))&amp;'Web Links'!G455)</f>
        <v>?????</v>
      </c>
      <c r="R455" s="20" t="str">
        <f>IF(OR(LEFT('Web Links'!$C455,2)="In",$C455="Error"),"???????????????",""&amp;F455)</f>
        <v>???????????????</v>
      </c>
    </row>
    <row r="456" spans="1:18" x14ac:dyDescent="0.2">
      <c r="A456" s="20">
        <f>IF('GL Template'!B470&lt;&gt;"",'GL Template'!B470,0)</f>
        <v>0</v>
      </c>
      <c r="B456" s="20">
        <f>IF('GL Template'!D470&lt;&gt;"",'GL Template'!D470,0)</f>
        <v>0</v>
      </c>
      <c r="C456" s="20" t="s">
        <v>95</v>
      </c>
      <c r="N456" s="20" t="str">
        <f>IF(OR(LEFT('Web Links'!$C456,2)="In",$C456="Error"),"?????",""&amp;C456)</f>
        <v>?????</v>
      </c>
      <c r="O456" s="20" t="str">
        <f>IF(OR(LEFT('Web Links'!$C456,2)="In",$C456="Error"),"??????????",""&amp;D456)</f>
        <v>??????????</v>
      </c>
      <c r="P456" s="20" t="str">
        <f>IF(OR(LEFT('Web Links'!$C456,2)="In",$C456="Error"),"???",IF(LEN(E456)=2,"0",IF(LEN(E456)=1,"00","")))&amp;'Web Links'!E456</f>
        <v>???</v>
      </c>
      <c r="Q456" s="20" t="str">
        <f>IF(OR(LEFT('Web Links'!$C456,2)="In",$C456="Error"),"?????",IF(LEN(G456)=4,"",IF(LEN(G456)=3,"",IF(LEN(G456)=2,"",IF(LEN(G456)=1,"",""))))&amp;'Web Links'!G456)</f>
        <v>?????</v>
      </c>
      <c r="R456" s="20" t="str">
        <f>IF(OR(LEFT('Web Links'!$C456,2)="In",$C456="Error"),"???????????????",""&amp;F456)</f>
        <v>???????????????</v>
      </c>
    </row>
    <row r="457" spans="1:18" x14ac:dyDescent="0.2">
      <c r="A457" s="20">
        <f>IF('GL Template'!B471&lt;&gt;"",'GL Template'!B471,0)</f>
        <v>0</v>
      </c>
      <c r="B457" s="20">
        <f>IF('GL Template'!D471&lt;&gt;"",'GL Template'!D471,0)</f>
        <v>0</v>
      </c>
      <c r="C457" s="20" t="s">
        <v>95</v>
      </c>
      <c r="N457" s="20" t="str">
        <f>IF(OR(LEFT('Web Links'!$C457,2)="In",$C457="Error"),"?????",""&amp;C457)</f>
        <v>?????</v>
      </c>
      <c r="O457" s="20" t="str">
        <f>IF(OR(LEFT('Web Links'!$C457,2)="In",$C457="Error"),"??????????",""&amp;D457)</f>
        <v>??????????</v>
      </c>
      <c r="P457" s="20" t="str">
        <f>IF(OR(LEFT('Web Links'!$C457,2)="In",$C457="Error"),"???",IF(LEN(E457)=2,"0",IF(LEN(E457)=1,"00","")))&amp;'Web Links'!E457</f>
        <v>???</v>
      </c>
      <c r="Q457" s="20" t="str">
        <f>IF(OR(LEFT('Web Links'!$C457,2)="In",$C457="Error"),"?????",IF(LEN(G457)=4,"",IF(LEN(G457)=3,"",IF(LEN(G457)=2,"",IF(LEN(G457)=1,"",""))))&amp;'Web Links'!G457)</f>
        <v>?????</v>
      </c>
      <c r="R457" s="20" t="str">
        <f>IF(OR(LEFT('Web Links'!$C457,2)="In",$C457="Error"),"???????????????",""&amp;F457)</f>
        <v>???????????????</v>
      </c>
    </row>
    <row r="458" spans="1:18" x14ac:dyDescent="0.2">
      <c r="A458" s="20">
        <f>IF('GL Template'!B472&lt;&gt;"",'GL Template'!B472,0)</f>
        <v>0</v>
      </c>
      <c r="B458" s="20">
        <f>IF('GL Template'!D472&lt;&gt;"",'GL Template'!D472,0)</f>
        <v>0</v>
      </c>
      <c r="C458" s="20" t="s">
        <v>95</v>
      </c>
      <c r="N458" s="20" t="str">
        <f>IF(OR(LEFT('Web Links'!$C458,2)="In",$C458="Error"),"?????",""&amp;C458)</f>
        <v>?????</v>
      </c>
      <c r="O458" s="20" t="str">
        <f>IF(OR(LEFT('Web Links'!$C458,2)="In",$C458="Error"),"??????????",""&amp;D458)</f>
        <v>??????????</v>
      </c>
      <c r="P458" s="20" t="str">
        <f>IF(OR(LEFT('Web Links'!$C458,2)="In",$C458="Error"),"???",IF(LEN(E458)=2,"0",IF(LEN(E458)=1,"00","")))&amp;'Web Links'!E458</f>
        <v>???</v>
      </c>
      <c r="Q458" s="20" t="str">
        <f>IF(OR(LEFT('Web Links'!$C458,2)="In",$C458="Error"),"?????",IF(LEN(G458)=4,"",IF(LEN(G458)=3,"",IF(LEN(G458)=2,"",IF(LEN(G458)=1,"",""))))&amp;'Web Links'!G458)</f>
        <v>?????</v>
      </c>
      <c r="R458" s="20" t="str">
        <f>IF(OR(LEFT('Web Links'!$C458,2)="In",$C458="Error"),"???????????????",""&amp;F458)</f>
        <v>???????????????</v>
      </c>
    </row>
    <row r="459" spans="1:18" x14ac:dyDescent="0.2">
      <c r="A459" s="20">
        <f>IF('GL Template'!B473&lt;&gt;"",'GL Template'!B473,0)</f>
        <v>0</v>
      </c>
      <c r="B459" s="20">
        <f>IF('GL Template'!D473&lt;&gt;"",'GL Template'!D473,0)</f>
        <v>0</v>
      </c>
      <c r="C459" s="20" t="s">
        <v>95</v>
      </c>
      <c r="N459" s="20" t="str">
        <f>IF(OR(LEFT('Web Links'!$C459,2)="In",$C459="Error"),"?????",""&amp;C459)</f>
        <v>?????</v>
      </c>
      <c r="O459" s="20" t="str">
        <f>IF(OR(LEFT('Web Links'!$C459,2)="In",$C459="Error"),"??????????",""&amp;D459)</f>
        <v>??????????</v>
      </c>
      <c r="P459" s="20" t="str">
        <f>IF(OR(LEFT('Web Links'!$C459,2)="In",$C459="Error"),"???",IF(LEN(E459)=2,"0",IF(LEN(E459)=1,"00","")))&amp;'Web Links'!E459</f>
        <v>???</v>
      </c>
      <c r="Q459" s="20" t="str">
        <f>IF(OR(LEFT('Web Links'!$C459,2)="In",$C459="Error"),"?????",IF(LEN(G459)=4,"",IF(LEN(G459)=3,"",IF(LEN(G459)=2,"",IF(LEN(G459)=1,"",""))))&amp;'Web Links'!G459)</f>
        <v>?????</v>
      </c>
      <c r="R459" s="20" t="str">
        <f>IF(OR(LEFT('Web Links'!$C459,2)="In",$C459="Error"),"???????????????",""&amp;F459)</f>
        <v>???????????????</v>
      </c>
    </row>
    <row r="460" spans="1:18" x14ac:dyDescent="0.2">
      <c r="A460" s="20">
        <f>IF('GL Template'!B474&lt;&gt;"",'GL Template'!B474,0)</f>
        <v>0</v>
      </c>
      <c r="B460" s="20">
        <f>IF('GL Template'!D474&lt;&gt;"",'GL Template'!D474,0)</f>
        <v>0</v>
      </c>
      <c r="C460" s="20" t="s">
        <v>95</v>
      </c>
      <c r="N460" s="20" t="str">
        <f>IF(OR(LEFT('Web Links'!$C460,2)="In",$C460="Error"),"?????",""&amp;C460)</f>
        <v>?????</v>
      </c>
      <c r="O460" s="20" t="str">
        <f>IF(OR(LEFT('Web Links'!$C460,2)="In",$C460="Error"),"??????????",""&amp;D460)</f>
        <v>??????????</v>
      </c>
      <c r="P460" s="20" t="str">
        <f>IF(OR(LEFT('Web Links'!$C460,2)="In",$C460="Error"),"???",IF(LEN(E460)=2,"0",IF(LEN(E460)=1,"00","")))&amp;'Web Links'!E460</f>
        <v>???</v>
      </c>
      <c r="Q460" s="20" t="str">
        <f>IF(OR(LEFT('Web Links'!$C460,2)="In",$C460="Error"),"?????",IF(LEN(G460)=4,"",IF(LEN(G460)=3,"",IF(LEN(G460)=2,"",IF(LEN(G460)=1,"",""))))&amp;'Web Links'!G460)</f>
        <v>?????</v>
      </c>
      <c r="R460" s="20" t="str">
        <f>IF(OR(LEFT('Web Links'!$C460,2)="In",$C460="Error"),"???????????????",""&amp;F460)</f>
        <v>???????????????</v>
      </c>
    </row>
    <row r="461" spans="1:18" x14ac:dyDescent="0.2">
      <c r="A461" s="20">
        <f>IF('GL Template'!B475&lt;&gt;"",'GL Template'!B475,0)</f>
        <v>0</v>
      </c>
      <c r="B461" s="20">
        <f>IF('GL Template'!D475&lt;&gt;"",'GL Template'!D475,0)</f>
        <v>0</v>
      </c>
      <c r="C461" s="20" t="s">
        <v>95</v>
      </c>
      <c r="N461" s="20" t="str">
        <f>IF(OR(LEFT('Web Links'!$C461,2)="In",$C461="Error"),"?????",""&amp;C461)</f>
        <v>?????</v>
      </c>
      <c r="O461" s="20" t="str">
        <f>IF(OR(LEFT('Web Links'!$C461,2)="In",$C461="Error"),"??????????",""&amp;D461)</f>
        <v>??????????</v>
      </c>
      <c r="P461" s="20" t="str">
        <f>IF(OR(LEFT('Web Links'!$C461,2)="In",$C461="Error"),"???",IF(LEN(E461)=2,"0",IF(LEN(E461)=1,"00","")))&amp;'Web Links'!E461</f>
        <v>???</v>
      </c>
      <c r="Q461" s="20" t="str">
        <f>IF(OR(LEFT('Web Links'!$C461,2)="In",$C461="Error"),"?????",IF(LEN(G461)=4,"",IF(LEN(G461)=3,"",IF(LEN(G461)=2,"",IF(LEN(G461)=1,"",""))))&amp;'Web Links'!G461)</f>
        <v>?????</v>
      </c>
      <c r="R461" s="20" t="str">
        <f>IF(OR(LEFT('Web Links'!$C461,2)="In",$C461="Error"),"???????????????",""&amp;F461)</f>
        <v>???????????????</v>
      </c>
    </row>
    <row r="462" spans="1:18" x14ac:dyDescent="0.2">
      <c r="A462" s="20">
        <f>IF('GL Template'!B476&lt;&gt;"",'GL Template'!B476,0)</f>
        <v>0</v>
      </c>
      <c r="B462" s="20">
        <f>IF('GL Template'!D476&lt;&gt;"",'GL Template'!D476,0)</f>
        <v>0</v>
      </c>
      <c r="C462" s="20" t="s">
        <v>95</v>
      </c>
      <c r="N462" s="20" t="str">
        <f>IF(OR(LEFT('Web Links'!$C462,2)="In",$C462="Error"),"?????",""&amp;C462)</f>
        <v>?????</v>
      </c>
      <c r="O462" s="20" t="str">
        <f>IF(OR(LEFT('Web Links'!$C462,2)="In",$C462="Error"),"??????????",""&amp;D462)</f>
        <v>??????????</v>
      </c>
      <c r="P462" s="20" t="str">
        <f>IF(OR(LEFT('Web Links'!$C462,2)="In",$C462="Error"),"???",IF(LEN(E462)=2,"0",IF(LEN(E462)=1,"00","")))&amp;'Web Links'!E462</f>
        <v>???</v>
      </c>
      <c r="Q462" s="20" t="str">
        <f>IF(OR(LEFT('Web Links'!$C462,2)="In",$C462="Error"),"?????",IF(LEN(G462)=4,"",IF(LEN(G462)=3,"",IF(LEN(G462)=2,"",IF(LEN(G462)=1,"",""))))&amp;'Web Links'!G462)</f>
        <v>?????</v>
      </c>
      <c r="R462" s="20" t="str">
        <f>IF(OR(LEFT('Web Links'!$C462,2)="In",$C462="Error"),"???????????????",""&amp;F462)</f>
        <v>???????????????</v>
      </c>
    </row>
    <row r="463" spans="1:18" x14ac:dyDescent="0.2">
      <c r="A463" s="20">
        <f>IF('GL Template'!B477&lt;&gt;"",'GL Template'!B477,0)</f>
        <v>0</v>
      </c>
      <c r="B463" s="20">
        <f>IF('GL Template'!D477&lt;&gt;"",'GL Template'!D477,0)</f>
        <v>0</v>
      </c>
      <c r="C463" s="20" t="s">
        <v>95</v>
      </c>
      <c r="N463" s="20" t="str">
        <f>IF(OR(LEFT('Web Links'!$C463,2)="In",$C463="Error"),"?????",""&amp;C463)</f>
        <v>?????</v>
      </c>
      <c r="O463" s="20" t="str">
        <f>IF(OR(LEFT('Web Links'!$C463,2)="In",$C463="Error"),"??????????",""&amp;D463)</f>
        <v>??????????</v>
      </c>
      <c r="P463" s="20" t="str">
        <f>IF(OR(LEFT('Web Links'!$C463,2)="In",$C463="Error"),"???",IF(LEN(E463)=2,"0",IF(LEN(E463)=1,"00","")))&amp;'Web Links'!E463</f>
        <v>???</v>
      </c>
      <c r="Q463" s="20" t="str">
        <f>IF(OR(LEFT('Web Links'!$C463,2)="In",$C463="Error"),"?????",IF(LEN(G463)=4,"",IF(LEN(G463)=3,"",IF(LEN(G463)=2,"",IF(LEN(G463)=1,"",""))))&amp;'Web Links'!G463)</f>
        <v>?????</v>
      </c>
      <c r="R463" s="20" t="str">
        <f>IF(OR(LEFT('Web Links'!$C463,2)="In",$C463="Error"),"???????????????",""&amp;F463)</f>
        <v>???????????????</v>
      </c>
    </row>
    <row r="464" spans="1:18" x14ac:dyDescent="0.2">
      <c r="A464" s="20">
        <f>IF('GL Template'!B478&lt;&gt;"",'GL Template'!B478,0)</f>
        <v>0</v>
      </c>
      <c r="B464" s="20">
        <f>IF('GL Template'!D478&lt;&gt;"",'GL Template'!D478,0)</f>
        <v>0</v>
      </c>
      <c r="C464" s="20" t="s">
        <v>95</v>
      </c>
      <c r="N464" s="20" t="str">
        <f>IF(OR(LEFT('Web Links'!$C464,2)="In",$C464="Error"),"?????",""&amp;C464)</f>
        <v>?????</v>
      </c>
      <c r="O464" s="20" t="str">
        <f>IF(OR(LEFT('Web Links'!$C464,2)="In",$C464="Error"),"??????????",""&amp;D464)</f>
        <v>??????????</v>
      </c>
      <c r="P464" s="20" t="str">
        <f>IF(OR(LEFT('Web Links'!$C464,2)="In",$C464="Error"),"???",IF(LEN(E464)=2,"0",IF(LEN(E464)=1,"00","")))&amp;'Web Links'!E464</f>
        <v>???</v>
      </c>
      <c r="Q464" s="20" t="str">
        <f>IF(OR(LEFT('Web Links'!$C464,2)="In",$C464="Error"),"?????",IF(LEN(G464)=4,"",IF(LEN(G464)=3,"",IF(LEN(G464)=2,"",IF(LEN(G464)=1,"",""))))&amp;'Web Links'!G464)</f>
        <v>?????</v>
      </c>
      <c r="R464" s="20" t="str">
        <f>IF(OR(LEFT('Web Links'!$C464,2)="In",$C464="Error"),"???????????????",""&amp;F464)</f>
        <v>???????????????</v>
      </c>
    </row>
    <row r="465" spans="1:18" x14ac:dyDescent="0.2">
      <c r="A465" s="20">
        <f>IF('GL Template'!B479&lt;&gt;"",'GL Template'!B479,0)</f>
        <v>0</v>
      </c>
      <c r="B465" s="20">
        <f>IF('GL Template'!D479&lt;&gt;"",'GL Template'!D479,0)</f>
        <v>0</v>
      </c>
      <c r="C465" s="20" t="s">
        <v>95</v>
      </c>
      <c r="N465" s="20" t="str">
        <f>IF(OR(LEFT('Web Links'!$C465,2)="In",$C465="Error"),"?????",""&amp;C465)</f>
        <v>?????</v>
      </c>
      <c r="O465" s="20" t="str">
        <f>IF(OR(LEFT('Web Links'!$C465,2)="In",$C465="Error"),"??????????",""&amp;D465)</f>
        <v>??????????</v>
      </c>
      <c r="P465" s="20" t="str">
        <f>IF(OR(LEFT('Web Links'!$C465,2)="In",$C465="Error"),"???",IF(LEN(E465)=2,"0",IF(LEN(E465)=1,"00","")))&amp;'Web Links'!E465</f>
        <v>???</v>
      </c>
      <c r="Q465" s="20" t="str">
        <f>IF(OR(LEFT('Web Links'!$C465,2)="In",$C465="Error"),"?????",IF(LEN(G465)=4,"",IF(LEN(G465)=3,"",IF(LEN(G465)=2,"",IF(LEN(G465)=1,"",""))))&amp;'Web Links'!G465)</f>
        <v>?????</v>
      </c>
      <c r="R465" s="20" t="str">
        <f>IF(OR(LEFT('Web Links'!$C465,2)="In",$C465="Error"),"???????????????",""&amp;F465)</f>
        <v>???????????????</v>
      </c>
    </row>
    <row r="466" spans="1:18" x14ac:dyDescent="0.2">
      <c r="A466" s="20">
        <f>IF('GL Template'!B480&lt;&gt;"",'GL Template'!B480,0)</f>
        <v>0</v>
      </c>
      <c r="B466" s="20">
        <f>IF('GL Template'!D480&lt;&gt;"",'GL Template'!D480,0)</f>
        <v>0</v>
      </c>
      <c r="C466" s="20" t="s">
        <v>95</v>
      </c>
      <c r="N466" s="20" t="str">
        <f>IF(OR(LEFT('Web Links'!$C466,2)="In",$C466="Error"),"?????",""&amp;C466)</f>
        <v>?????</v>
      </c>
      <c r="O466" s="20" t="str">
        <f>IF(OR(LEFT('Web Links'!$C466,2)="In",$C466="Error"),"??????????",""&amp;D466)</f>
        <v>??????????</v>
      </c>
      <c r="P466" s="20" t="str">
        <f>IF(OR(LEFT('Web Links'!$C466,2)="In",$C466="Error"),"???",IF(LEN(E466)=2,"0",IF(LEN(E466)=1,"00","")))&amp;'Web Links'!E466</f>
        <v>???</v>
      </c>
      <c r="Q466" s="20" t="str">
        <f>IF(OR(LEFT('Web Links'!$C466,2)="In",$C466="Error"),"?????",IF(LEN(G466)=4,"",IF(LEN(G466)=3,"",IF(LEN(G466)=2,"",IF(LEN(G466)=1,"",""))))&amp;'Web Links'!G466)</f>
        <v>?????</v>
      </c>
      <c r="R466" s="20" t="str">
        <f>IF(OR(LEFT('Web Links'!$C466,2)="In",$C466="Error"),"???????????????",""&amp;F466)</f>
        <v>???????????????</v>
      </c>
    </row>
    <row r="467" spans="1:18" x14ac:dyDescent="0.2">
      <c r="A467" s="20">
        <f>IF('GL Template'!B481&lt;&gt;"",'GL Template'!B481,0)</f>
        <v>0</v>
      </c>
      <c r="B467" s="20">
        <f>IF('GL Template'!D481&lt;&gt;"",'GL Template'!D481,0)</f>
        <v>0</v>
      </c>
      <c r="C467" s="20" t="s">
        <v>95</v>
      </c>
      <c r="N467" s="20" t="str">
        <f>IF(OR(LEFT('Web Links'!$C467,2)="In",$C467="Error"),"?????",""&amp;C467)</f>
        <v>?????</v>
      </c>
      <c r="O467" s="20" t="str">
        <f>IF(OR(LEFT('Web Links'!$C467,2)="In",$C467="Error"),"??????????",""&amp;D467)</f>
        <v>??????????</v>
      </c>
      <c r="P467" s="20" t="str">
        <f>IF(OR(LEFT('Web Links'!$C467,2)="In",$C467="Error"),"???",IF(LEN(E467)=2,"0",IF(LEN(E467)=1,"00","")))&amp;'Web Links'!E467</f>
        <v>???</v>
      </c>
      <c r="Q467" s="20" t="str">
        <f>IF(OR(LEFT('Web Links'!$C467,2)="In",$C467="Error"),"?????",IF(LEN(G467)=4,"",IF(LEN(G467)=3,"",IF(LEN(G467)=2,"",IF(LEN(G467)=1,"",""))))&amp;'Web Links'!G467)</f>
        <v>?????</v>
      </c>
      <c r="R467" s="20" t="str">
        <f>IF(OR(LEFT('Web Links'!$C467,2)="In",$C467="Error"),"???????????????",""&amp;F467)</f>
        <v>???????????????</v>
      </c>
    </row>
    <row r="468" spans="1:18" x14ac:dyDescent="0.2">
      <c r="A468" s="20">
        <f>IF('GL Template'!B482&lt;&gt;"",'GL Template'!B482,0)</f>
        <v>0</v>
      </c>
      <c r="B468" s="20">
        <f>IF('GL Template'!D482&lt;&gt;"",'GL Template'!D482,0)</f>
        <v>0</v>
      </c>
      <c r="C468" s="20" t="s">
        <v>95</v>
      </c>
      <c r="N468" s="20" t="str">
        <f>IF(OR(LEFT('Web Links'!$C468,2)="In",$C468="Error"),"?????",""&amp;C468)</f>
        <v>?????</v>
      </c>
      <c r="O468" s="20" t="str">
        <f>IF(OR(LEFT('Web Links'!$C468,2)="In",$C468="Error"),"??????????",""&amp;D468)</f>
        <v>??????????</v>
      </c>
      <c r="P468" s="20" t="str">
        <f>IF(OR(LEFT('Web Links'!$C468,2)="In",$C468="Error"),"???",IF(LEN(E468)=2,"0",IF(LEN(E468)=1,"00","")))&amp;'Web Links'!E468</f>
        <v>???</v>
      </c>
      <c r="Q468" s="20" t="str">
        <f>IF(OR(LEFT('Web Links'!$C468,2)="In",$C468="Error"),"?????",IF(LEN(G468)=4,"",IF(LEN(G468)=3,"",IF(LEN(G468)=2,"",IF(LEN(G468)=1,"",""))))&amp;'Web Links'!G468)</f>
        <v>?????</v>
      </c>
      <c r="R468" s="20" t="str">
        <f>IF(OR(LEFT('Web Links'!$C468,2)="In",$C468="Error"),"???????????????",""&amp;F468)</f>
        <v>???????????????</v>
      </c>
    </row>
    <row r="469" spans="1:18" x14ac:dyDescent="0.2">
      <c r="A469" s="20">
        <f>IF('GL Template'!B483&lt;&gt;"",'GL Template'!B483,0)</f>
        <v>0</v>
      </c>
      <c r="B469" s="20">
        <f>IF('GL Template'!D483&lt;&gt;"",'GL Template'!D483,0)</f>
        <v>0</v>
      </c>
      <c r="C469" s="20" t="s">
        <v>95</v>
      </c>
      <c r="N469" s="20" t="str">
        <f>IF(OR(LEFT('Web Links'!$C469,2)="In",$C469="Error"),"?????",""&amp;C469)</f>
        <v>?????</v>
      </c>
      <c r="O469" s="20" t="str">
        <f>IF(OR(LEFT('Web Links'!$C469,2)="In",$C469="Error"),"??????????",""&amp;D469)</f>
        <v>??????????</v>
      </c>
      <c r="P469" s="20" t="str">
        <f>IF(OR(LEFT('Web Links'!$C469,2)="In",$C469="Error"),"???",IF(LEN(E469)=2,"0",IF(LEN(E469)=1,"00","")))&amp;'Web Links'!E469</f>
        <v>???</v>
      </c>
      <c r="Q469" s="20" t="str">
        <f>IF(OR(LEFT('Web Links'!$C469,2)="In",$C469="Error"),"?????",IF(LEN(G469)=4,"",IF(LEN(G469)=3,"",IF(LEN(G469)=2,"",IF(LEN(G469)=1,"",""))))&amp;'Web Links'!G469)</f>
        <v>?????</v>
      </c>
      <c r="R469" s="20" t="str">
        <f>IF(OR(LEFT('Web Links'!$C469,2)="In",$C469="Error"),"???????????????",""&amp;F469)</f>
        <v>???????????????</v>
      </c>
    </row>
    <row r="470" spans="1:18" x14ac:dyDescent="0.2">
      <c r="A470" s="20">
        <f>IF('GL Template'!B484&lt;&gt;"",'GL Template'!B484,0)</f>
        <v>0</v>
      </c>
      <c r="B470" s="20">
        <f>IF('GL Template'!D484&lt;&gt;"",'GL Template'!D484,0)</f>
        <v>0</v>
      </c>
      <c r="C470" s="20" t="s">
        <v>95</v>
      </c>
      <c r="N470" s="20" t="str">
        <f>IF(OR(LEFT('Web Links'!$C470,2)="In",$C470="Error"),"?????",""&amp;C470)</f>
        <v>?????</v>
      </c>
      <c r="O470" s="20" t="str">
        <f>IF(OR(LEFT('Web Links'!$C470,2)="In",$C470="Error"),"??????????",""&amp;D470)</f>
        <v>??????????</v>
      </c>
      <c r="P470" s="20" t="str">
        <f>IF(OR(LEFT('Web Links'!$C470,2)="In",$C470="Error"),"???",IF(LEN(E470)=2,"0",IF(LEN(E470)=1,"00","")))&amp;'Web Links'!E470</f>
        <v>???</v>
      </c>
      <c r="Q470" s="20" t="str">
        <f>IF(OR(LEFT('Web Links'!$C470,2)="In",$C470="Error"),"?????",IF(LEN(G470)=4,"",IF(LEN(G470)=3,"",IF(LEN(G470)=2,"",IF(LEN(G470)=1,"",""))))&amp;'Web Links'!G470)</f>
        <v>?????</v>
      </c>
      <c r="R470" s="20" t="str">
        <f>IF(OR(LEFT('Web Links'!$C470,2)="In",$C470="Error"),"???????????????",""&amp;F470)</f>
        <v>???????????????</v>
      </c>
    </row>
    <row r="471" spans="1:18" x14ac:dyDescent="0.2">
      <c r="A471" s="20">
        <f>IF('GL Template'!B485&lt;&gt;"",'GL Template'!B485,0)</f>
        <v>0</v>
      </c>
      <c r="B471" s="20">
        <f>IF('GL Template'!D485&lt;&gt;"",'GL Template'!D485,0)</f>
        <v>0</v>
      </c>
      <c r="C471" s="20" t="s">
        <v>95</v>
      </c>
      <c r="N471" s="20" t="str">
        <f>IF(OR(LEFT('Web Links'!$C471,2)="In",$C471="Error"),"?????",""&amp;C471)</f>
        <v>?????</v>
      </c>
      <c r="O471" s="20" t="str">
        <f>IF(OR(LEFT('Web Links'!$C471,2)="In",$C471="Error"),"??????????",""&amp;D471)</f>
        <v>??????????</v>
      </c>
      <c r="P471" s="20" t="str">
        <f>IF(OR(LEFT('Web Links'!$C471,2)="In",$C471="Error"),"???",IF(LEN(E471)=2,"0",IF(LEN(E471)=1,"00","")))&amp;'Web Links'!E471</f>
        <v>???</v>
      </c>
      <c r="Q471" s="20" t="str">
        <f>IF(OR(LEFT('Web Links'!$C471,2)="In",$C471="Error"),"?????",IF(LEN(G471)=4,"",IF(LEN(G471)=3,"",IF(LEN(G471)=2,"",IF(LEN(G471)=1,"",""))))&amp;'Web Links'!G471)</f>
        <v>?????</v>
      </c>
      <c r="R471" s="20" t="str">
        <f>IF(OR(LEFT('Web Links'!$C471,2)="In",$C471="Error"),"???????????????",""&amp;F471)</f>
        <v>???????????????</v>
      </c>
    </row>
    <row r="472" spans="1:18" x14ac:dyDescent="0.2">
      <c r="A472" s="20">
        <f>IF('GL Template'!B486&lt;&gt;"",'GL Template'!B486,0)</f>
        <v>0</v>
      </c>
      <c r="B472" s="20">
        <f>IF('GL Template'!D486&lt;&gt;"",'GL Template'!D486,0)</f>
        <v>0</v>
      </c>
      <c r="C472" s="20" t="s">
        <v>95</v>
      </c>
      <c r="N472" s="20" t="str">
        <f>IF(OR(LEFT('Web Links'!$C472,2)="In",$C472="Error"),"?????",""&amp;C472)</f>
        <v>?????</v>
      </c>
      <c r="O472" s="20" t="str">
        <f>IF(OR(LEFT('Web Links'!$C472,2)="In",$C472="Error"),"??????????",""&amp;D472)</f>
        <v>??????????</v>
      </c>
      <c r="P472" s="20" t="str">
        <f>IF(OR(LEFT('Web Links'!$C472,2)="In",$C472="Error"),"???",IF(LEN(E472)=2,"0",IF(LEN(E472)=1,"00","")))&amp;'Web Links'!E472</f>
        <v>???</v>
      </c>
      <c r="Q472" s="20" t="str">
        <f>IF(OR(LEFT('Web Links'!$C472,2)="In",$C472="Error"),"?????",IF(LEN(G472)=4,"",IF(LEN(G472)=3,"",IF(LEN(G472)=2,"",IF(LEN(G472)=1,"",""))))&amp;'Web Links'!G472)</f>
        <v>?????</v>
      </c>
      <c r="R472" s="20" t="str">
        <f>IF(OR(LEFT('Web Links'!$C472,2)="In",$C472="Error"),"???????????????",""&amp;F472)</f>
        <v>???????????????</v>
      </c>
    </row>
    <row r="473" spans="1:18" x14ac:dyDescent="0.2">
      <c r="A473" s="20">
        <f>IF('GL Template'!B487&lt;&gt;"",'GL Template'!B487,0)</f>
        <v>0</v>
      </c>
      <c r="B473" s="20">
        <f>IF('GL Template'!D487&lt;&gt;"",'GL Template'!D487,0)</f>
        <v>0</v>
      </c>
      <c r="C473" s="20" t="s">
        <v>95</v>
      </c>
      <c r="N473" s="20" t="str">
        <f>IF(OR(LEFT('Web Links'!$C473,2)="In",$C473="Error"),"?????",""&amp;C473)</f>
        <v>?????</v>
      </c>
      <c r="O473" s="20" t="str">
        <f>IF(OR(LEFT('Web Links'!$C473,2)="In",$C473="Error"),"??????????",""&amp;D473)</f>
        <v>??????????</v>
      </c>
      <c r="P473" s="20" t="str">
        <f>IF(OR(LEFT('Web Links'!$C473,2)="In",$C473="Error"),"???",IF(LEN(E473)=2,"0",IF(LEN(E473)=1,"00","")))&amp;'Web Links'!E473</f>
        <v>???</v>
      </c>
      <c r="Q473" s="20" t="str">
        <f>IF(OR(LEFT('Web Links'!$C473,2)="In",$C473="Error"),"?????",IF(LEN(G473)=4,"",IF(LEN(G473)=3,"",IF(LEN(G473)=2,"",IF(LEN(G473)=1,"",""))))&amp;'Web Links'!G473)</f>
        <v>?????</v>
      </c>
      <c r="R473" s="20" t="str">
        <f>IF(OR(LEFT('Web Links'!$C473,2)="In",$C473="Error"),"???????????????",""&amp;F473)</f>
        <v>???????????????</v>
      </c>
    </row>
    <row r="474" spans="1:18" x14ac:dyDescent="0.2">
      <c r="A474" s="20">
        <f>IF('GL Template'!B488&lt;&gt;"",'GL Template'!B488,0)</f>
        <v>0</v>
      </c>
      <c r="B474" s="20">
        <f>IF('GL Template'!D488&lt;&gt;"",'GL Template'!D488,0)</f>
        <v>0</v>
      </c>
      <c r="C474" s="20" t="s">
        <v>95</v>
      </c>
      <c r="N474" s="20" t="str">
        <f>IF(OR(LEFT('Web Links'!$C474,2)="In",$C474="Error"),"?????",""&amp;C474)</f>
        <v>?????</v>
      </c>
      <c r="O474" s="20" t="str">
        <f>IF(OR(LEFT('Web Links'!$C474,2)="In",$C474="Error"),"??????????",""&amp;D474)</f>
        <v>??????????</v>
      </c>
      <c r="P474" s="20" t="str">
        <f>IF(OR(LEFT('Web Links'!$C474,2)="In",$C474="Error"),"???",IF(LEN(E474)=2,"0",IF(LEN(E474)=1,"00","")))&amp;'Web Links'!E474</f>
        <v>???</v>
      </c>
      <c r="Q474" s="20" t="str">
        <f>IF(OR(LEFT('Web Links'!$C474,2)="In",$C474="Error"),"?????",IF(LEN(G474)=4,"",IF(LEN(G474)=3,"",IF(LEN(G474)=2,"",IF(LEN(G474)=1,"",""))))&amp;'Web Links'!G474)</f>
        <v>?????</v>
      </c>
      <c r="R474" s="20" t="str">
        <f>IF(OR(LEFT('Web Links'!$C474,2)="In",$C474="Error"),"???????????????",""&amp;F474)</f>
        <v>???????????????</v>
      </c>
    </row>
    <row r="475" spans="1:18" x14ac:dyDescent="0.2">
      <c r="A475" s="20">
        <f>IF('GL Template'!B489&lt;&gt;"",'GL Template'!B489,0)</f>
        <v>0</v>
      </c>
      <c r="B475" s="20">
        <f>IF('GL Template'!D489&lt;&gt;"",'GL Template'!D489,0)</f>
        <v>0</v>
      </c>
      <c r="C475" s="20" t="s">
        <v>95</v>
      </c>
      <c r="N475" s="20" t="str">
        <f>IF(OR(LEFT('Web Links'!$C475,2)="In",$C475="Error"),"?????",""&amp;C475)</f>
        <v>?????</v>
      </c>
      <c r="O475" s="20" t="str">
        <f>IF(OR(LEFT('Web Links'!$C475,2)="In",$C475="Error"),"??????????",""&amp;D475)</f>
        <v>??????????</v>
      </c>
      <c r="P475" s="20" t="str">
        <f>IF(OR(LEFT('Web Links'!$C475,2)="In",$C475="Error"),"???",IF(LEN(E475)=2,"0",IF(LEN(E475)=1,"00","")))&amp;'Web Links'!E475</f>
        <v>???</v>
      </c>
      <c r="Q475" s="20" t="str">
        <f>IF(OR(LEFT('Web Links'!$C475,2)="In",$C475="Error"),"?????",IF(LEN(G475)=4,"",IF(LEN(G475)=3,"",IF(LEN(G475)=2,"",IF(LEN(G475)=1,"",""))))&amp;'Web Links'!G475)</f>
        <v>?????</v>
      </c>
      <c r="R475" s="20" t="str">
        <f>IF(OR(LEFT('Web Links'!$C475,2)="In",$C475="Error"),"???????????????",""&amp;F475)</f>
        <v>???????????????</v>
      </c>
    </row>
    <row r="476" spans="1:18" x14ac:dyDescent="0.2">
      <c r="A476" s="20">
        <f>IF('GL Template'!B490&lt;&gt;"",'GL Template'!B490,0)</f>
        <v>0</v>
      </c>
      <c r="B476" s="20">
        <f>IF('GL Template'!D490&lt;&gt;"",'GL Template'!D490,0)</f>
        <v>0</v>
      </c>
      <c r="C476" s="20" t="s">
        <v>95</v>
      </c>
      <c r="N476" s="20" t="str">
        <f>IF(OR(LEFT('Web Links'!$C476,2)="In",$C476="Error"),"?????",""&amp;C476)</f>
        <v>?????</v>
      </c>
      <c r="O476" s="20" t="str">
        <f>IF(OR(LEFT('Web Links'!$C476,2)="In",$C476="Error"),"??????????",""&amp;D476)</f>
        <v>??????????</v>
      </c>
      <c r="P476" s="20" t="str">
        <f>IF(OR(LEFT('Web Links'!$C476,2)="In",$C476="Error"),"???",IF(LEN(E476)=2,"0",IF(LEN(E476)=1,"00","")))&amp;'Web Links'!E476</f>
        <v>???</v>
      </c>
      <c r="Q476" s="20" t="str">
        <f>IF(OR(LEFT('Web Links'!$C476,2)="In",$C476="Error"),"?????",IF(LEN(G476)=4,"",IF(LEN(G476)=3,"",IF(LEN(G476)=2,"",IF(LEN(G476)=1,"",""))))&amp;'Web Links'!G476)</f>
        <v>?????</v>
      </c>
      <c r="R476" s="20" t="str">
        <f>IF(OR(LEFT('Web Links'!$C476,2)="In",$C476="Error"),"???????????????",""&amp;F476)</f>
        <v>???????????????</v>
      </c>
    </row>
    <row r="477" spans="1:18" x14ac:dyDescent="0.2">
      <c r="A477" s="20">
        <f>IF('GL Template'!B491&lt;&gt;"",'GL Template'!B491,0)</f>
        <v>0</v>
      </c>
      <c r="B477" s="20">
        <f>IF('GL Template'!D491&lt;&gt;"",'GL Template'!D491,0)</f>
        <v>0</v>
      </c>
      <c r="C477" s="20" t="s">
        <v>95</v>
      </c>
      <c r="N477" s="20" t="str">
        <f>IF(OR(LEFT('Web Links'!$C477,2)="In",$C477="Error"),"?????",""&amp;C477)</f>
        <v>?????</v>
      </c>
      <c r="O477" s="20" t="str">
        <f>IF(OR(LEFT('Web Links'!$C477,2)="In",$C477="Error"),"??????????",""&amp;D477)</f>
        <v>??????????</v>
      </c>
      <c r="P477" s="20" t="str">
        <f>IF(OR(LEFT('Web Links'!$C477,2)="In",$C477="Error"),"???",IF(LEN(E477)=2,"0",IF(LEN(E477)=1,"00","")))&amp;'Web Links'!E477</f>
        <v>???</v>
      </c>
      <c r="Q477" s="20" t="str">
        <f>IF(OR(LEFT('Web Links'!$C477,2)="In",$C477="Error"),"?????",IF(LEN(G477)=4,"",IF(LEN(G477)=3,"",IF(LEN(G477)=2,"",IF(LEN(G477)=1,"",""))))&amp;'Web Links'!G477)</f>
        <v>?????</v>
      </c>
      <c r="R477" s="20" t="str">
        <f>IF(OR(LEFT('Web Links'!$C477,2)="In",$C477="Error"),"???????????????",""&amp;F477)</f>
        <v>???????????????</v>
      </c>
    </row>
    <row r="478" spans="1:18" x14ac:dyDescent="0.2">
      <c r="A478" s="20">
        <f>IF('GL Template'!B492&lt;&gt;"",'GL Template'!B492,0)</f>
        <v>0</v>
      </c>
      <c r="B478" s="20">
        <f>IF('GL Template'!D492&lt;&gt;"",'GL Template'!D492,0)</f>
        <v>0</v>
      </c>
      <c r="C478" s="20" t="s">
        <v>95</v>
      </c>
      <c r="N478" s="20" t="str">
        <f>IF(OR(LEFT('Web Links'!$C478,2)="In",$C478="Error"),"?????",""&amp;C478)</f>
        <v>?????</v>
      </c>
      <c r="O478" s="20" t="str">
        <f>IF(OR(LEFT('Web Links'!$C478,2)="In",$C478="Error"),"??????????",""&amp;D478)</f>
        <v>??????????</v>
      </c>
      <c r="P478" s="20" t="str">
        <f>IF(OR(LEFT('Web Links'!$C478,2)="In",$C478="Error"),"???",IF(LEN(E478)=2,"0",IF(LEN(E478)=1,"00","")))&amp;'Web Links'!E478</f>
        <v>???</v>
      </c>
      <c r="Q478" s="20" t="str">
        <f>IF(OR(LEFT('Web Links'!$C478,2)="In",$C478="Error"),"?????",IF(LEN(G478)=4,"",IF(LEN(G478)=3,"",IF(LEN(G478)=2,"",IF(LEN(G478)=1,"",""))))&amp;'Web Links'!G478)</f>
        <v>?????</v>
      </c>
      <c r="R478" s="20" t="str">
        <f>IF(OR(LEFT('Web Links'!$C478,2)="In",$C478="Error"),"???????????????",""&amp;F478)</f>
        <v>???????????????</v>
      </c>
    </row>
    <row r="479" spans="1:18" x14ac:dyDescent="0.2">
      <c r="A479" s="20">
        <f>IF('GL Template'!B493&lt;&gt;"",'GL Template'!B493,0)</f>
        <v>0</v>
      </c>
      <c r="B479" s="20">
        <f>IF('GL Template'!D493&lt;&gt;"",'GL Template'!D493,0)</f>
        <v>0</v>
      </c>
      <c r="C479" s="20" t="s">
        <v>95</v>
      </c>
      <c r="N479" s="20" t="str">
        <f>IF(OR(LEFT('Web Links'!$C479,2)="In",$C479="Error"),"?????",""&amp;C479)</f>
        <v>?????</v>
      </c>
      <c r="O479" s="20" t="str">
        <f>IF(OR(LEFT('Web Links'!$C479,2)="In",$C479="Error"),"??????????",""&amp;D479)</f>
        <v>??????????</v>
      </c>
      <c r="P479" s="20" t="str">
        <f>IF(OR(LEFT('Web Links'!$C479,2)="In",$C479="Error"),"???",IF(LEN(E479)=2,"0",IF(LEN(E479)=1,"00","")))&amp;'Web Links'!E479</f>
        <v>???</v>
      </c>
      <c r="Q479" s="20" t="str">
        <f>IF(OR(LEFT('Web Links'!$C479,2)="In",$C479="Error"),"?????",IF(LEN(G479)=4,"",IF(LEN(G479)=3,"",IF(LEN(G479)=2,"",IF(LEN(G479)=1,"",""))))&amp;'Web Links'!G479)</f>
        <v>?????</v>
      </c>
      <c r="R479" s="20" t="str">
        <f>IF(OR(LEFT('Web Links'!$C479,2)="In",$C479="Error"),"???????????????",""&amp;F479)</f>
        <v>???????????????</v>
      </c>
    </row>
    <row r="480" spans="1:18" x14ac:dyDescent="0.2">
      <c r="A480" s="20">
        <f>IF('GL Template'!B494&lt;&gt;"",'GL Template'!B494,0)</f>
        <v>0</v>
      </c>
      <c r="B480" s="20">
        <f>IF('GL Template'!D494&lt;&gt;"",'GL Template'!D494,0)</f>
        <v>0</v>
      </c>
      <c r="C480" s="20" t="s">
        <v>95</v>
      </c>
      <c r="N480" s="20" t="str">
        <f>IF(OR(LEFT('Web Links'!$C480,2)="In",$C480="Error"),"?????",""&amp;C480)</f>
        <v>?????</v>
      </c>
      <c r="O480" s="20" t="str">
        <f>IF(OR(LEFT('Web Links'!$C480,2)="In",$C480="Error"),"??????????",""&amp;D480)</f>
        <v>??????????</v>
      </c>
      <c r="P480" s="20" t="str">
        <f>IF(OR(LEFT('Web Links'!$C480,2)="In",$C480="Error"),"???",IF(LEN(E480)=2,"0",IF(LEN(E480)=1,"00","")))&amp;'Web Links'!E480</f>
        <v>???</v>
      </c>
      <c r="Q480" s="20" t="str">
        <f>IF(OR(LEFT('Web Links'!$C480,2)="In",$C480="Error"),"?????",IF(LEN(G480)=4,"",IF(LEN(G480)=3,"",IF(LEN(G480)=2,"",IF(LEN(G480)=1,"",""))))&amp;'Web Links'!G480)</f>
        <v>?????</v>
      </c>
      <c r="R480" s="20" t="str">
        <f>IF(OR(LEFT('Web Links'!$C480,2)="In",$C480="Error"),"???????????????",""&amp;F480)</f>
        <v>???????????????</v>
      </c>
    </row>
    <row r="481" spans="1:18" x14ac:dyDescent="0.2">
      <c r="A481" s="20">
        <f>IF('GL Template'!B495&lt;&gt;"",'GL Template'!B495,0)</f>
        <v>0</v>
      </c>
      <c r="B481" s="20">
        <f>IF('GL Template'!D495&lt;&gt;"",'GL Template'!D495,0)</f>
        <v>0</v>
      </c>
      <c r="C481" s="20" t="s">
        <v>95</v>
      </c>
      <c r="N481" s="20" t="str">
        <f>IF(OR(LEFT('Web Links'!$C481,2)="In",$C481="Error"),"?????",""&amp;C481)</f>
        <v>?????</v>
      </c>
      <c r="O481" s="20" t="str">
        <f>IF(OR(LEFT('Web Links'!$C481,2)="In",$C481="Error"),"??????????",""&amp;D481)</f>
        <v>??????????</v>
      </c>
      <c r="P481" s="20" t="str">
        <f>IF(OR(LEFT('Web Links'!$C481,2)="In",$C481="Error"),"???",IF(LEN(E481)=2,"0",IF(LEN(E481)=1,"00","")))&amp;'Web Links'!E481</f>
        <v>???</v>
      </c>
      <c r="Q481" s="20" t="str">
        <f>IF(OR(LEFT('Web Links'!$C481,2)="In",$C481="Error"),"?????",IF(LEN(G481)=4,"",IF(LEN(G481)=3,"",IF(LEN(G481)=2,"",IF(LEN(G481)=1,"",""))))&amp;'Web Links'!G481)</f>
        <v>?????</v>
      </c>
      <c r="R481" s="20" t="str">
        <f>IF(OR(LEFT('Web Links'!$C481,2)="In",$C481="Error"),"???????????????",""&amp;F481)</f>
        <v>???????????????</v>
      </c>
    </row>
    <row r="482" spans="1:18" x14ac:dyDescent="0.2">
      <c r="A482" s="20">
        <f>IF('GL Template'!B496&lt;&gt;"",'GL Template'!B496,0)</f>
        <v>0</v>
      </c>
      <c r="B482" s="20">
        <f>IF('GL Template'!D496&lt;&gt;"",'GL Template'!D496,0)</f>
        <v>0</v>
      </c>
      <c r="C482" s="20" t="s">
        <v>95</v>
      </c>
      <c r="N482" s="20" t="str">
        <f>IF(OR(LEFT('Web Links'!$C482,2)="In",$C482="Error"),"?????",""&amp;C482)</f>
        <v>?????</v>
      </c>
      <c r="O482" s="20" t="str">
        <f>IF(OR(LEFT('Web Links'!$C482,2)="In",$C482="Error"),"??????????",""&amp;D482)</f>
        <v>??????????</v>
      </c>
      <c r="P482" s="20" t="str">
        <f>IF(OR(LEFT('Web Links'!$C482,2)="In",$C482="Error"),"???",IF(LEN(E482)=2,"0",IF(LEN(E482)=1,"00","")))&amp;'Web Links'!E482</f>
        <v>???</v>
      </c>
      <c r="Q482" s="20" t="str">
        <f>IF(OR(LEFT('Web Links'!$C482,2)="In",$C482="Error"),"?????",IF(LEN(G482)=4,"",IF(LEN(G482)=3,"",IF(LEN(G482)=2,"",IF(LEN(G482)=1,"",""))))&amp;'Web Links'!G482)</f>
        <v>?????</v>
      </c>
      <c r="R482" s="20" t="str">
        <f>IF(OR(LEFT('Web Links'!$C482,2)="In",$C482="Error"),"???????????????",""&amp;F482)</f>
        <v>???????????????</v>
      </c>
    </row>
    <row r="483" spans="1:18" x14ac:dyDescent="0.2">
      <c r="A483" s="20">
        <f>IF('GL Template'!B497&lt;&gt;"",'GL Template'!B497,0)</f>
        <v>0</v>
      </c>
      <c r="B483" s="20">
        <f>IF('GL Template'!D497&lt;&gt;"",'GL Template'!D497,0)</f>
        <v>0</v>
      </c>
      <c r="C483" s="20" t="s">
        <v>95</v>
      </c>
      <c r="N483" s="20" t="str">
        <f>IF(OR(LEFT('Web Links'!$C483,2)="In",$C483="Error"),"?????",""&amp;C483)</f>
        <v>?????</v>
      </c>
      <c r="O483" s="20" t="str">
        <f>IF(OR(LEFT('Web Links'!$C483,2)="In",$C483="Error"),"??????????",""&amp;D483)</f>
        <v>??????????</v>
      </c>
      <c r="P483" s="20" t="str">
        <f>IF(OR(LEFT('Web Links'!$C483,2)="In",$C483="Error"),"???",IF(LEN(E483)=2,"0",IF(LEN(E483)=1,"00","")))&amp;'Web Links'!E483</f>
        <v>???</v>
      </c>
      <c r="Q483" s="20" t="str">
        <f>IF(OR(LEFT('Web Links'!$C483,2)="In",$C483="Error"),"?????",IF(LEN(G483)=4,"",IF(LEN(G483)=3,"",IF(LEN(G483)=2,"",IF(LEN(G483)=1,"",""))))&amp;'Web Links'!G483)</f>
        <v>?????</v>
      </c>
      <c r="R483" s="20" t="str">
        <f>IF(OR(LEFT('Web Links'!$C483,2)="In",$C483="Error"),"???????????????",""&amp;F483)</f>
        <v>???????????????</v>
      </c>
    </row>
    <row r="484" spans="1:18" x14ac:dyDescent="0.2">
      <c r="A484" s="20">
        <f>IF('GL Template'!B498&lt;&gt;"",'GL Template'!B498,0)</f>
        <v>0</v>
      </c>
      <c r="B484" s="20">
        <f>IF('GL Template'!D498&lt;&gt;"",'GL Template'!D498,0)</f>
        <v>0</v>
      </c>
      <c r="C484" s="20" t="s">
        <v>95</v>
      </c>
      <c r="N484" s="20" t="str">
        <f>IF(OR(LEFT('Web Links'!$C484,2)="In",$C484="Error"),"?????",""&amp;C484)</f>
        <v>?????</v>
      </c>
      <c r="O484" s="20" t="str">
        <f>IF(OR(LEFT('Web Links'!$C484,2)="In",$C484="Error"),"??????????",""&amp;D484)</f>
        <v>??????????</v>
      </c>
      <c r="P484" s="20" t="str">
        <f>IF(OR(LEFT('Web Links'!$C484,2)="In",$C484="Error"),"???",IF(LEN(E484)=2,"0",IF(LEN(E484)=1,"00","")))&amp;'Web Links'!E484</f>
        <v>???</v>
      </c>
      <c r="Q484" s="20" t="str">
        <f>IF(OR(LEFT('Web Links'!$C484,2)="In",$C484="Error"),"?????",IF(LEN(G484)=4,"",IF(LEN(G484)=3,"",IF(LEN(G484)=2,"",IF(LEN(G484)=1,"",""))))&amp;'Web Links'!G484)</f>
        <v>?????</v>
      </c>
      <c r="R484" s="20" t="str">
        <f>IF(OR(LEFT('Web Links'!$C484,2)="In",$C484="Error"),"???????????????",""&amp;F484)</f>
        <v>???????????????</v>
      </c>
    </row>
    <row r="485" spans="1:18" x14ac:dyDescent="0.2">
      <c r="A485" s="20">
        <f>IF('GL Template'!B499&lt;&gt;"",'GL Template'!B499,0)</f>
        <v>0</v>
      </c>
      <c r="B485" s="20">
        <f>IF('GL Template'!D499&lt;&gt;"",'GL Template'!D499,0)</f>
        <v>0</v>
      </c>
      <c r="C485" s="20" t="s">
        <v>95</v>
      </c>
      <c r="N485" s="20" t="str">
        <f>IF(OR(LEFT('Web Links'!$C485,2)="In",$C485="Error"),"?????",""&amp;C485)</f>
        <v>?????</v>
      </c>
      <c r="O485" s="20" t="str">
        <f>IF(OR(LEFT('Web Links'!$C485,2)="In",$C485="Error"),"??????????",""&amp;D485)</f>
        <v>??????????</v>
      </c>
      <c r="P485" s="20" t="str">
        <f>IF(OR(LEFT('Web Links'!$C485,2)="In",$C485="Error"),"???",IF(LEN(E485)=2,"0",IF(LEN(E485)=1,"00","")))&amp;'Web Links'!E485</f>
        <v>???</v>
      </c>
      <c r="Q485" s="20" t="str">
        <f>IF(OR(LEFT('Web Links'!$C485,2)="In",$C485="Error"),"?????",IF(LEN(G485)=4,"",IF(LEN(G485)=3,"",IF(LEN(G485)=2,"",IF(LEN(G485)=1,"",""))))&amp;'Web Links'!G485)</f>
        <v>?????</v>
      </c>
      <c r="R485" s="20" t="str">
        <f>IF(OR(LEFT('Web Links'!$C485,2)="In",$C485="Error"),"???????????????",""&amp;F485)</f>
        <v>???????????????</v>
      </c>
    </row>
    <row r="486" spans="1:18" x14ac:dyDescent="0.2">
      <c r="A486" s="20">
        <f>IF('GL Template'!B500&lt;&gt;"",'GL Template'!B500,0)</f>
        <v>0</v>
      </c>
      <c r="B486" s="20">
        <f>IF('GL Template'!D500&lt;&gt;"",'GL Template'!D500,0)</f>
        <v>0</v>
      </c>
      <c r="C486" s="20" t="s">
        <v>95</v>
      </c>
      <c r="N486" s="20" t="str">
        <f>IF(OR(LEFT('Web Links'!$C486,2)="In",$C486="Error"),"?????",""&amp;C486)</f>
        <v>?????</v>
      </c>
      <c r="O486" s="20" t="str">
        <f>IF(OR(LEFT('Web Links'!$C486,2)="In",$C486="Error"),"??????????",""&amp;D486)</f>
        <v>??????????</v>
      </c>
      <c r="P486" s="20" t="str">
        <f>IF(OR(LEFT('Web Links'!$C486,2)="In",$C486="Error"),"???",IF(LEN(E486)=2,"0",IF(LEN(E486)=1,"00","")))&amp;'Web Links'!E486</f>
        <v>???</v>
      </c>
      <c r="Q486" s="20" t="str">
        <f>IF(OR(LEFT('Web Links'!$C486,2)="In",$C486="Error"),"?????",IF(LEN(G486)=4,"",IF(LEN(G486)=3,"",IF(LEN(G486)=2,"",IF(LEN(G486)=1,"",""))))&amp;'Web Links'!G486)</f>
        <v>?????</v>
      </c>
      <c r="R486" s="20" t="str">
        <f>IF(OR(LEFT('Web Links'!$C486,2)="In",$C486="Error"),"???????????????",""&amp;F486)</f>
        <v>???????????????</v>
      </c>
    </row>
    <row r="487" spans="1:18" x14ac:dyDescent="0.2">
      <c r="A487" s="20">
        <f>IF('GL Template'!B501&lt;&gt;"",'GL Template'!B501,0)</f>
        <v>0</v>
      </c>
      <c r="B487" s="20">
        <f>IF('GL Template'!D501&lt;&gt;"",'GL Template'!D501,0)</f>
        <v>0</v>
      </c>
      <c r="C487" s="20" t="s">
        <v>95</v>
      </c>
      <c r="N487" s="20" t="str">
        <f>IF(OR(LEFT('Web Links'!$C487,2)="In",$C487="Error"),"?????",""&amp;C487)</f>
        <v>?????</v>
      </c>
      <c r="O487" s="20" t="str">
        <f>IF(OR(LEFT('Web Links'!$C487,2)="In",$C487="Error"),"??????????",""&amp;D487)</f>
        <v>??????????</v>
      </c>
      <c r="P487" s="20" t="str">
        <f>IF(OR(LEFT('Web Links'!$C487,2)="In",$C487="Error"),"???",IF(LEN(E487)=2,"0",IF(LEN(E487)=1,"00","")))&amp;'Web Links'!E487</f>
        <v>???</v>
      </c>
      <c r="Q487" s="20" t="str">
        <f>IF(OR(LEFT('Web Links'!$C487,2)="In",$C487="Error"),"?????",IF(LEN(G487)=4,"",IF(LEN(G487)=3,"",IF(LEN(G487)=2,"",IF(LEN(G487)=1,"",""))))&amp;'Web Links'!G487)</f>
        <v>?????</v>
      </c>
      <c r="R487" s="20" t="str">
        <f>IF(OR(LEFT('Web Links'!$C487,2)="In",$C487="Error"),"???????????????",""&amp;F487)</f>
        <v>???????????????</v>
      </c>
    </row>
    <row r="488" spans="1:18" x14ac:dyDescent="0.2">
      <c r="A488" s="20">
        <f>IF('GL Template'!B502&lt;&gt;"",'GL Template'!B502,0)</f>
        <v>0</v>
      </c>
      <c r="B488" s="20">
        <f>IF('GL Template'!D502&lt;&gt;"",'GL Template'!D502,0)</f>
        <v>0</v>
      </c>
      <c r="C488" s="20" t="s">
        <v>95</v>
      </c>
      <c r="N488" s="20" t="str">
        <f>IF(OR(LEFT('Web Links'!$C488,2)="In",$C488="Error"),"?????",""&amp;C488)</f>
        <v>?????</v>
      </c>
      <c r="O488" s="20" t="str">
        <f>IF(OR(LEFT('Web Links'!$C488,2)="In",$C488="Error"),"??????????",""&amp;D488)</f>
        <v>??????????</v>
      </c>
      <c r="P488" s="20" t="str">
        <f>IF(OR(LEFT('Web Links'!$C488,2)="In",$C488="Error"),"???",IF(LEN(E488)=2,"0",IF(LEN(E488)=1,"00","")))&amp;'Web Links'!E488</f>
        <v>???</v>
      </c>
      <c r="Q488" s="20" t="str">
        <f>IF(OR(LEFT('Web Links'!$C488,2)="In",$C488="Error"),"?????",IF(LEN(G488)=4,"",IF(LEN(G488)=3,"",IF(LEN(G488)=2,"",IF(LEN(G488)=1,"",""))))&amp;'Web Links'!G488)</f>
        <v>?????</v>
      </c>
      <c r="R488" s="20" t="str">
        <f>IF(OR(LEFT('Web Links'!$C488,2)="In",$C488="Error"),"???????????????",""&amp;F488)</f>
        <v>???????????????</v>
      </c>
    </row>
    <row r="489" spans="1:18" x14ac:dyDescent="0.2">
      <c r="A489" s="20">
        <f>IF('GL Template'!B503&lt;&gt;"",'GL Template'!B503,0)</f>
        <v>0</v>
      </c>
      <c r="B489" s="20">
        <f>IF('GL Template'!D503&lt;&gt;"",'GL Template'!D503,0)</f>
        <v>0</v>
      </c>
      <c r="C489" s="20" t="s">
        <v>95</v>
      </c>
      <c r="N489" s="20" t="str">
        <f>IF(OR(LEFT('Web Links'!$C489,2)="In",$C489="Error"),"?????",""&amp;C489)</f>
        <v>?????</v>
      </c>
      <c r="O489" s="20" t="str">
        <f>IF(OR(LEFT('Web Links'!$C489,2)="In",$C489="Error"),"??????????",""&amp;D489)</f>
        <v>??????????</v>
      </c>
      <c r="P489" s="20" t="str">
        <f>IF(OR(LEFT('Web Links'!$C489,2)="In",$C489="Error"),"???",IF(LEN(E489)=2,"0",IF(LEN(E489)=1,"00","")))&amp;'Web Links'!E489</f>
        <v>???</v>
      </c>
      <c r="Q489" s="20" t="str">
        <f>IF(OR(LEFT('Web Links'!$C489,2)="In",$C489="Error"),"?????",IF(LEN(G489)=4,"",IF(LEN(G489)=3,"",IF(LEN(G489)=2,"",IF(LEN(G489)=1,"",""))))&amp;'Web Links'!G489)</f>
        <v>?????</v>
      </c>
      <c r="R489" s="20" t="str">
        <f>IF(OR(LEFT('Web Links'!$C489,2)="In",$C489="Error"),"???????????????",""&amp;F489)</f>
        <v>???????????????</v>
      </c>
    </row>
    <row r="490" spans="1:18" x14ac:dyDescent="0.2">
      <c r="A490" s="20">
        <f>IF('GL Template'!B504&lt;&gt;"",'GL Template'!B504,0)</f>
        <v>0</v>
      </c>
      <c r="B490" s="20">
        <f>IF('GL Template'!D504&lt;&gt;"",'GL Template'!D504,0)</f>
        <v>0</v>
      </c>
      <c r="C490" s="20" t="s">
        <v>95</v>
      </c>
      <c r="N490" s="20" t="str">
        <f>IF(OR(LEFT('Web Links'!$C490,2)="In",$C490="Error"),"?????",""&amp;C490)</f>
        <v>?????</v>
      </c>
      <c r="O490" s="20" t="str">
        <f>IF(OR(LEFT('Web Links'!$C490,2)="In",$C490="Error"),"??????????",""&amp;D490)</f>
        <v>??????????</v>
      </c>
      <c r="P490" s="20" t="str">
        <f>IF(OR(LEFT('Web Links'!$C490,2)="In",$C490="Error"),"???",IF(LEN(E490)=2,"0",IF(LEN(E490)=1,"00","")))&amp;'Web Links'!E490</f>
        <v>???</v>
      </c>
      <c r="Q490" s="20" t="str">
        <f>IF(OR(LEFT('Web Links'!$C490,2)="In",$C490="Error"),"?????",IF(LEN(G490)=4,"",IF(LEN(G490)=3,"",IF(LEN(G490)=2,"",IF(LEN(G490)=1,"",""))))&amp;'Web Links'!G490)</f>
        <v>?????</v>
      </c>
      <c r="R490" s="20" t="str">
        <f>IF(OR(LEFT('Web Links'!$C490,2)="In",$C490="Error"),"???????????????",""&amp;F490)</f>
        <v>???????????????</v>
      </c>
    </row>
    <row r="491" spans="1:18" x14ac:dyDescent="0.2">
      <c r="A491" s="20">
        <f>IF('GL Template'!B505&lt;&gt;"",'GL Template'!B505,0)</f>
        <v>0</v>
      </c>
      <c r="B491" s="20">
        <f>IF('GL Template'!D505&lt;&gt;"",'GL Template'!D505,0)</f>
        <v>0</v>
      </c>
      <c r="C491" s="20" t="s">
        <v>95</v>
      </c>
      <c r="N491" s="20" t="str">
        <f>IF(OR(LEFT('Web Links'!$C491,2)="In",$C491="Error"),"?????",""&amp;C491)</f>
        <v>?????</v>
      </c>
      <c r="O491" s="20" t="str">
        <f>IF(OR(LEFT('Web Links'!$C491,2)="In",$C491="Error"),"??????????",""&amp;D491)</f>
        <v>??????????</v>
      </c>
      <c r="P491" s="20" t="str">
        <f>IF(OR(LEFT('Web Links'!$C491,2)="In",$C491="Error"),"???",IF(LEN(E491)=2,"0",IF(LEN(E491)=1,"00","")))&amp;'Web Links'!E491</f>
        <v>???</v>
      </c>
      <c r="Q491" s="20" t="str">
        <f>IF(OR(LEFT('Web Links'!$C491,2)="In",$C491="Error"),"?????",IF(LEN(G491)=4,"",IF(LEN(G491)=3,"",IF(LEN(G491)=2,"",IF(LEN(G491)=1,"",""))))&amp;'Web Links'!G491)</f>
        <v>?????</v>
      </c>
      <c r="R491" s="20" t="str">
        <f>IF(OR(LEFT('Web Links'!$C491,2)="In",$C491="Error"),"???????????????",""&amp;F491)</f>
        <v>???????????????</v>
      </c>
    </row>
    <row r="492" spans="1:18" x14ac:dyDescent="0.2">
      <c r="A492" s="20">
        <f>IF('GL Template'!B506&lt;&gt;"",'GL Template'!B506,0)</f>
        <v>0</v>
      </c>
      <c r="B492" s="20">
        <f>IF('GL Template'!D506&lt;&gt;"",'GL Template'!D506,0)</f>
        <v>0</v>
      </c>
      <c r="C492" s="20" t="s">
        <v>95</v>
      </c>
      <c r="N492" s="20" t="str">
        <f>IF(OR(LEFT('Web Links'!$C492,2)="In",$C492="Error"),"?????",""&amp;C492)</f>
        <v>?????</v>
      </c>
      <c r="O492" s="20" t="str">
        <f>IF(OR(LEFT('Web Links'!$C492,2)="In",$C492="Error"),"??????????",""&amp;D492)</f>
        <v>??????????</v>
      </c>
      <c r="P492" s="20" t="str">
        <f>IF(OR(LEFT('Web Links'!$C492,2)="In",$C492="Error"),"???",IF(LEN(E492)=2,"0",IF(LEN(E492)=1,"00","")))&amp;'Web Links'!E492</f>
        <v>???</v>
      </c>
      <c r="Q492" s="20" t="str">
        <f>IF(OR(LEFT('Web Links'!$C492,2)="In",$C492="Error"),"?????",IF(LEN(G492)=4,"",IF(LEN(G492)=3,"",IF(LEN(G492)=2,"",IF(LEN(G492)=1,"",""))))&amp;'Web Links'!G492)</f>
        <v>?????</v>
      </c>
      <c r="R492" s="20" t="str">
        <f>IF(OR(LEFT('Web Links'!$C492,2)="In",$C492="Error"),"???????????????",""&amp;F492)</f>
        <v>???????????????</v>
      </c>
    </row>
    <row r="493" spans="1:18" x14ac:dyDescent="0.2">
      <c r="A493" s="20">
        <f>IF('GL Template'!B507&lt;&gt;"",'GL Template'!B507,0)</f>
        <v>0</v>
      </c>
      <c r="B493" s="20">
        <f>IF('GL Template'!D507&lt;&gt;"",'GL Template'!D507,0)</f>
        <v>0</v>
      </c>
      <c r="C493" s="20" t="s">
        <v>95</v>
      </c>
      <c r="N493" s="20" t="str">
        <f>IF(OR(LEFT('Web Links'!$C493,2)="In",$C493="Error"),"?????",""&amp;C493)</f>
        <v>?????</v>
      </c>
      <c r="O493" s="20" t="str">
        <f>IF(OR(LEFT('Web Links'!$C493,2)="In",$C493="Error"),"??????????",""&amp;D493)</f>
        <v>??????????</v>
      </c>
      <c r="P493" s="20" t="str">
        <f>IF(OR(LEFT('Web Links'!$C493,2)="In",$C493="Error"),"???",IF(LEN(E493)=2,"0",IF(LEN(E493)=1,"00","")))&amp;'Web Links'!E493</f>
        <v>???</v>
      </c>
      <c r="Q493" s="20" t="str">
        <f>IF(OR(LEFT('Web Links'!$C493,2)="In",$C493="Error"),"?????",IF(LEN(G493)=4,"",IF(LEN(G493)=3,"",IF(LEN(G493)=2,"",IF(LEN(G493)=1,"",""))))&amp;'Web Links'!G493)</f>
        <v>?????</v>
      </c>
      <c r="R493" s="20" t="str">
        <f>IF(OR(LEFT('Web Links'!$C493,2)="In",$C493="Error"),"???????????????",""&amp;F493)</f>
        <v>???????????????</v>
      </c>
    </row>
    <row r="494" spans="1:18" x14ac:dyDescent="0.2">
      <c r="A494" s="20">
        <f>IF('GL Template'!B508&lt;&gt;"",'GL Template'!B508,0)</f>
        <v>0</v>
      </c>
      <c r="B494" s="20">
        <f>IF('GL Template'!D508&lt;&gt;"",'GL Template'!D508,0)</f>
        <v>0</v>
      </c>
      <c r="C494" s="20" t="s">
        <v>95</v>
      </c>
      <c r="N494" s="20" t="str">
        <f>IF(OR(LEFT('Web Links'!$C494,2)="In",$C494="Error"),"?????",""&amp;C494)</f>
        <v>?????</v>
      </c>
      <c r="O494" s="20" t="str">
        <f>IF(OR(LEFT('Web Links'!$C494,2)="In",$C494="Error"),"??????????",""&amp;D494)</f>
        <v>??????????</v>
      </c>
      <c r="P494" s="20" t="str">
        <f>IF(OR(LEFT('Web Links'!$C494,2)="In",$C494="Error"),"???",IF(LEN(E494)=2,"0",IF(LEN(E494)=1,"00","")))&amp;'Web Links'!E494</f>
        <v>???</v>
      </c>
      <c r="Q494" s="20" t="str">
        <f>IF(OR(LEFT('Web Links'!$C494,2)="In",$C494="Error"),"?????",IF(LEN(G494)=4,"",IF(LEN(G494)=3,"",IF(LEN(G494)=2,"",IF(LEN(G494)=1,"",""))))&amp;'Web Links'!G494)</f>
        <v>?????</v>
      </c>
      <c r="R494" s="20" t="str">
        <f>IF(OR(LEFT('Web Links'!$C494,2)="In",$C494="Error"),"???????????????",""&amp;F494)</f>
        <v>???????????????</v>
      </c>
    </row>
    <row r="495" spans="1:18" x14ac:dyDescent="0.2">
      <c r="A495" s="20">
        <f>IF('GL Template'!B509&lt;&gt;"",'GL Template'!B509,0)</f>
        <v>0</v>
      </c>
      <c r="B495" s="20">
        <f>IF('GL Template'!D509&lt;&gt;"",'GL Template'!D509,0)</f>
        <v>0</v>
      </c>
      <c r="C495" s="20" t="s">
        <v>95</v>
      </c>
      <c r="N495" s="20" t="str">
        <f>IF(OR(LEFT('Web Links'!$C495,2)="In",$C495="Error"),"?????",""&amp;C495)</f>
        <v>?????</v>
      </c>
      <c r="O495" s="20" t="str">
        <f>IF(OR(LEFT('Web Links'!$C495,2)="In",$C495="Error"),"??????????",""&amp;D495)</f>
        <v>??????????</v>
      </c>
      <c r="P495" s="20" t="str">
        <f>IF(OR(LEFT('Web Links'!$C495,2)="In",$C495="Error"),"???",IF(LEN(E495)=2,"0",IF(LEN(E495)=1,"00","")))&amp;'Web Links'!E495</f>
        <v>???</v>
      </c>
      <c r="Q495" s="20" t="str">
        <f>IF(OR(LEFT('Web Links'!$C495,2)="In",$C495="Error"),"?????",IF(LEN(G495)=4,"",IF(LEN(G495)=3,"",IF(LEN(G495)=2,"",IF(LEN(G495)=1,"",""))))&amp;'Web Links'!G495)</f>
        <v>?????</v>
      </c>
      <c r="R495" s="20" t="str">
        <f>IF(OR(LEFT('Web Links'!$C495,2)="In",$C495="Error"),"???????????????",""&amp;F495)</f>
        <v>???????????????</v>
      </c>
    </row>
    <row r="496" spans="1:18" x14ac:dyDescent="0.2">
      <c r="A496" s="20">
        <f>IF('GL Template'!B510&lt;&gt;"",'GL Template'!B510,0)</f>
        <v>0</v>
      </c>
      <c r="B496" s="20">
        <f>IF('GL Template'!D510&lt;&gt;"",'GL Template'!D510,0)</f>
        <v>0</v>
      </c>
      <c r="C496" s="20" t="s">
        <v>95</v>
      </c>
      <c r="N496" s="20" t="str">
        <f>IF(OR(LEFT('Web Links'!$C496,2)="In",$C496="Error"),"?????",""&amp;C496)</f>
        <v>?????</v>
      </c>
      <c r="O496" s="20" t="str">
        <f>IF(OR(LEFT('Web Links'!$C496,2)="In",$C496="Error"),"??????????",""&amp;D496)</f>
        <v>??????????</v>
      </c>
      <c r="P496" s="20" t="str">
        <f>IF(OR(LEFT('Web Links'!$C496,2)="In",$C496="Error"),"???",IF(LEN(E496)=2,"0",IF(LEN(E496)=1,"00","")))&amp;'Web Links'!E496</f>
        <v>???</v>
      </c>
      <c r="Q496" s="20" t="str">
        <f>IF(OR(LEFT('Web Links'!$C496,2)="In",$C496="Error"),"?????",IF(LEN(G496)=4,"",IF(LEN(G496)=3,"",IF(LEN(G496)=2,"",IF(LEN(G496)=1,"",""))))&amp;'Web Links'!G496)</f>
        <v>?????</v>
      </c>
      <c r="R496" s="20" t="str">
        <f>IF(OR(LEFT('Web Links'!$C496,2)="In",$C496="Error"),"???????????????",""&amp;F496)</f>
        <v>???????????????</v>
      </c>
    </row>
    <row r="497" spans="1:18" x14ac:dyDescent="0.2">
      <c r="A497" s="20">
        <f>IF('GL Template'!B511&lt;&gt;"",'GL Template'!B511,0)</f>
        <v>0</v>
      </c>
      <c r="B497" s="20">
        <f>IF('GL Template'!D511&lt;&gt;"",'GL Template'!D511,0)</f>
        <v>0</v>
      </c>
      <c r="C497" s="20" t="s">
        <v>95</v>
      </c>
      <c r="N497" s="20" t="str">
        <f>IF(OR(LEFT('Web Links'!$C497,2)="In",$C497="Error"),"?????",""&amp;C497)</f>
        <v>?????</v>
      </c>
      <c r="O497" s="20" t="str">
        <f>IF(OR(LEFT('Web Links'!$C497,2)="In",$C497="Error"),"??????????",""&amp;D497)</f>
        <v>??????????</v>
      </c>
      <c r="P497" s="20" t="str">
        <f>IF(OR(LEFT('Web Links'!$C497,2)="In",$C497="Error"),"???",IF(LEN(E497)=2,"0",IF(LEN(E497)=1,"00","")))&amp;'Web Links'!E497</f>
        <v>???</v>
      </c>
      <c r="Q497" s="20" t="str">
        <f>IF(OR(LEFT('Web Links'!$C497,2)="In",$C497="Error"),"?????",IF(LEN(G497)=4,"",IF(LEN(G497)=3,"",IF(LEN(G497)=2,"",IF(LEN(G497)=1,"",""))))&amp;'Web Links'!G497)</f>
        <v>?????</v>
      </c>
      <c r="R497" s="20" t="str">
        <f>IF(OR(LEFT('Web Links'!$C497,2)="In",$C497="Error"),"???????????????",""&amp;F497)</f>
        <v>???????????????</v>
      </c>
    </row>
    <row r="498" spans="1:18" x14ac:dyDescent="0.2">
      <c r="A498" s="20">
        <f>IF('GL Template'!B512&lt;&gt;"",'GL Template'!B512,0)</f>
        <v>0</v>
      </c>
      <c r="B498" s="20">
        <f>IF('GL Template'!D512&lt;&gt;"",'GL Template'!D512,0)</f>
        <v>0</v>
      </c>
      <c r="C498" s="20" t="s">
        <v>95</v>
      </c>
      <c r="N498" s="20" t="str">
        <f>IF(OR(LEFT('Web Links'!$C498,2)="In",$C498="Error"),"?????",""&amp;C498)</f>
        <v>?????</v>
      </c>
      <c r="O498" s="20" t="str">
        <f>IF(OR(LEFT('Web Links'!$C498,2)="In",$C498="Error"),"??????????",""&amp;D498)</f>
        <v>??????????</v>
      </c>
      <c r="P498" s="20" t="str">
        <f>IF(OR(LEFT('Web Links'!$C498,2)="In",$C498="Error"),"???",IF(LEN(E498)=2,"0",IF(LEN(E498)=1,"00","")))&amp;'Web Links'!E498</f>
        <v>???</v>
      </c>
      <c r="Q498" s="20" t="str">
        <f>IF(OR(LEFT('Web Links'!$C498,2)="In",$C498="Error"),"?????",IF(LEN(G498)=4,"",IF(LEN(G498)=3,"",IF(LEN(G498)=2,"",IF(LEN(G498)=1,"",""))))&amp;'Web Links'!G498)</f>
        <v>?????</v>
      </c>
      <c r="R498" s="20" t="str">
        <f>IF(OR(LEFT('Web Links'!$C498,2)="In",$C498="Error"),"???????????????",""&amp;F498)</f>
        <v>???????????????</v>
      </c>
    </row>
    <row r="499" spans="1:18" x14ac:dyDescent="0.2">
      <c r="A499" s="20">
        <f>IF('GL Template'!B513&lt;&gt;"",'GL Template'!B513,0)</f>
        <v>0</v>
      </c>
      <c r="B499" s="20">
        <f>IF('GL Template'!D513&lt;&gt;"",'GL Template'!D513,0)</f>
        <v>0</v>
      </c>
      <c r="C499" s="20" t="s">
        <v>95</v>
      </c>
      <c r="N499" s="20" t="str">
        <f>IF(OR(LEFT('Web Links'!$C499,2)="In",$C499="Error"),"?????",""&amp;C499)</f>
        <v>?????</v>
      </c>
      <c r="O499" s="20" t="str">
        <f>IF(OR(LEFT('Web Links'!$C499,2)="In",$C499="Error"),"??????????",""&amp;D499)</f>
        <v>??????????</v>
      </c>
      <c r="P499" s="20" t="str">
        <f>IF(OR(LEFT('Web Links'!$C499,2)="In",$C499="Error"),"???",IF(LEN(E499)=2,"0",IF(LEN(E499)=1,"00","")))&amp;'Web Links'!E499</f>
        <v>???</v>
      </c>
      <c r="Q499" s="20" t="str">
        <f>IF(OR(LEFT('Web Links'!$C499,2)="In",$C499="Error"),"?????",IF(LEN(G499)=4,"",IF(LEN(G499)=3,"",IF(LEN(G499)=2,"",IF(LEN(G499)=1,"",""))))&amp;'Web Links'!G499)</f>
        <v>?????</v>
      </c>
      <c r="R499" s="20" t="str">
        <f>IF(OR(LEFT('Web Links'!$C499,2)="In",$C499="Error"),"???????????????",""&amp;F499)</f>
        <v>???????????????</v>
      </c>
    </row>
    <row r="500" spans="1:18" x14ac:dyDescent="0.2">
      <c r="A500" s="20">
        <f>IF('GL Template'!B514&lt;&gt;"",'GL Template'!B514,0)</f>
        <v>0</v>
      </c>
      <c r="B500" s="20">
        <f>IF('GL Template'!D514&lt;&gt;"",'GL Template'!D514,0)</f>
        <v>0</v>
      </c>
      <c r="C500" s="20" t="s">
        <v>95</v>
      </c>
      <c r="N500" s="20" t="str">
        <f>IF(OR(LEFT('Web Links'!$C500,2)="In",$C500="Error"),"?????",""&amp;C500)</f>
        <v>?????</v>
      </c>
      <c r="O500" s="20" t="str">
        <f>IF(OR(LEFT('Web Links'!$C500,2)="In",$C500="Error"),"??????????",""&amp;D500)</f>
        <v>??????????</v>
      </c>
      <c r="P500" s="20" t="str">
        <f>IF(OR(LEFT('Web Links'!$C500,2)="In",$C500="Error"),"???",IF(LEN(E500)=2,"0",IF(LEN(E500)=1,"00","")))&amp;'Web Links'!E500</f>
        <v>???</v>
      </c>
      <c r="Q500" s="20" t="str">
        <f>IF(OR(LEFT('Web Links'!$C500,2)="In",$C500="Error"),"?????",IF(LEN(G500)=4,"",IF(LEN(G500)=3,"",IF(LEN(G500)=2,"",IF(LEN(G500)=1,"",""))))&amp;'Web Links'!G500)</f>
        <v>?????</v>
      </c>
      <c r="R500" s="20" t="str">
        <f>IF(OR(LEFT('Web Links'!$C500,2)="In",$C500="Error"),"???????????????",""&amp;F500)</f>
        <v>???????????????</v>
      </c>
    </row>
    <row r="501" spans="1:18" x14ac:dyDescent="0.2">
      <c r="A501" s="20">
        <f>IF('GL Template'!B515&lt;&gt;"",'GL Template'!B515,0)</f>
        <v>0</v>
      </c>
      <c r="B501" s="20">
        <f>IF('GL Template'!D515&lt;&gt;"",'GL Template'!D515,0)</f>
        <v>0</v>
      </c>
      <c r="C501" s="20" t="s">
        <v>95</v>
      </c>
      <c r="N501" s="20" t="str">
        <f>IF(OR(LEFT('Web Links'!$C501,2)="In",$C501="Error"),"?????",""&amp;C501)</f>
        <v>?????</v>
      </c>
      <c r="O501" s="20" t="str">
        <f>IF(OR(LEFT('Web Links'!$C501,2)="In",$C501="Error"),"??????????",""&amp;D501)</f>
        <v>??????????</v>
      </c>
      <c r="P501" s="20" t="str">
        <f>IF(OR(LEFT('Web Links'!$C501,2)="In",$C501="Error"),"???",IF(LEN(E501)=2,"0",IF(LEN(E501)=1,"00","")))&amp;'Web Links'!E501</f>
        <v>???</v>
      </c>
      <c r="Q501" s="20" t="str">
        <f>IF(OR(LEFT('Web Links'!$C501,2)="In",$C501="Error"),"?????",IF(LEN(G501)=4,"",IF(LEN(G501)=3,"",IF(LEN(G501)=2,"",IF(LEN(G501)=1,"",""))))&amp;'Web Links'!G501)</f>
        <v>?????</v>
      </c>
      <c r="R501" s="20" t="str">
        <f>IF(OR(LEFT('Web Links'!$C501,2)="In",$C501="Error"),"???????????????",""&amp;F501)</f>
        <v>???????????????</v>
      </c>
    </row>
    <row r="502" spans="1:18" x14ac:dyDescent="0.2">
      <c r="C502" s="20" t="s">
        <v>47</v>
      </c>
    </row>
    <row r="503" spans="1:18" x14ac:dyDescent="0.2">
      <c r="C503" s="20" t="s">
        <v>47</v>
      </c>
    </row>
    <row r="514" spans="5:9" x14ac:dyDescent="0.2">
      <c r="E514" s="24"/>
      <c r="F514" s="24"/>
      <c r="G514" s="24"/>
      <c r="H514" s="24"/>
      <c r="I514" s="24"/>
    </row>
  </sheetData>
  <sheetProtection deleteRows="0"/>
  <phoneticPr fontId="11"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H52"/>
  <sheetViews>
    <sheetView workbookViewId="0">
      <selection activeCell="D41" sqref="D41"/>
    </sheetView>
  </sheetViews>
  <sheetFormatPr defaultRowHeight="12.75" x14ac:dyDescent="0.2"/>
  <cols>
    <col min="6" max="6" width="9" customWidth="1"/>
    <col min="27" max="27" width="10.5703125" customWidth="1"/>
    <col min="28" max="28" width="27.42578125" bestFit="1" customWidth="1"/>
    <col min="30" max="30" width="11.28515625" customWidth="1"/>
    <col min="32" max="32" width="29" customWidth="1"/>
  </cols>
  <sheetData>
    <row r="1" spans="1:34" ht="15.75" x14ac:dyDescent="0.25">
      <c r="A1" s="4"/>
      <c r="AA1" s="3" t="s">
        <v>23</v>
      </c>
      <c r="AB1" s="3" t="s">
        <v>25</v>
      </c>
      <c r="AD1" s="2" t="s">
        <v>16</v>
      </c>
      <c r="AF1" s="2" t="s">
        <v>20</v>
      </c>
      <c r="AH1" s="2" t="s">
        <v>33</v>
      </c>
    </row>
    <row r="2" spans="1:34" ht="15.75" x14ac:dyDescent="0.25">
      <c r="A2" s="4"/>
      <c r="AA2" s="3" t="s">
        <v>24</v>
      </c>
      <c r="AB2" s="3" t="s">
        <v>26</v>
      </c>
      <c r="AD2" s="3" t="s">
        <v>27</v>
      </c>
      <c r="AF2" s="3" t="s">
        <v>18</v>
      </c>
      <c r="AH2" s="3" t="s">
        <v>34</v>
      </c>
    </row>
    <row r="3" spans="1:34" x14ac:dyDescent="0.2">
      <c r="A3" s="1"/>
      <c r="AA3" s="3" t="s">
        <v>28</v>
      </c>
      <c r="AB3" s="3" t="s">
        <v>29</v>
      </c>
      <c r="AF3" s="3" t="s">
        <v>19</v>
      </c>
      <c r="AH3" s="3" t="s">
        <v>35</v>
      </c>
    </row>
    <row r="4" spans="1:34" x14ac:dyDescent="0.2">
      <c r="A4" s="1"/>
      <c r="AA4" s="3" t="s">
        <v>6</v>
      </c>
      <c r="AB4" s="3" t="s">
        <v>7</v>
      </c>
      <c r="AF4" s="3" t="s">
        <v>21</v>
      </c>
      <c r="AH4" s="3" t="s">
        <v>36</v>
      </c>
    </row>
    <row r="5" spans="1:34" x14ac:dyDescent="0.2">
      <c r="A5" s="1"/>
      <c r="AA5" s="3" t="s">
        <v>8</v>
      </c>
      <c r="AB5" s="3" t="s">
        <v>9</v>
      </c>
    </row>
    <row r="6" spans="1:34" x14ac:dyDescent="0.2">
      <c r="A6" s="1"/>
      <c r="AA6" s="3" t="s">
        <v>1</v>
      </c>
      <c r="AB6" s="3" t="s">
        <v>10</v>
      </c>
    </row>
    <row r="7" spans="1:34" x14ac:dyDescent="0.2">
      <c r="A7" s="1"/>
      <c r="AA7" s="3" t="s">
        <v>11</v>
      </c>
      <c r="AB7" s="3" t="s">
        <v>12</v>
      </c>
    </row>
    <row r="8" spans="1:34" x14ac:dyDescent="0.2">
      <c r="A8" s="1"/>
      <c r="AA8" s="3" t="s">
        <v>13</v>
      </c>
      <c r="AB8" s="3" t="s">
        <v>14</v>
      </c>
    </row>
    <row r="9" spans="1:34" ht="15.75" x14ac:dyDescent="0.25">
      <c r="A9" s="6"/>
      <c r="AA9" s="3" t="s">
        <v>125</v>
      </c>
      <c r="AB9" s="3" t="s">
        <v>126</v>
      </c>
    </row>
    <row r="10" spans="1:34" ht="15.75" x14ac:dyDescent="0.25">
      <c r="A10" s="6"/>
      <c r="AA10" s="3" t="s">
        <v>127</v>
      </c>
      <c r="AB10" s="3" t="s">
        <v>128</v>
      </c>
    </row>
    <row r="11" spans="1:34" ht="15.75" x14ac:dyDescent="0.25">
      <c r="A11" s="6"/>
      <c r="AA11" s="3" t="s">
        <v>129</v>
      </c>
      <c r="AB11" s="3" t="s">
        <v>130</v>
      </c>
    </row>
    <row r="12" spans="1:34" ht="15.75" x14ac:dyDescent="0.25">
      <c r="A12" s="6"/>
      <c r="AA12" s="3" t="s">
        <v>131</v>
      </c>
      <c r="AB12" s="3" t="s">
        <v>132</v>
      </c>
    </row>
    <row r="13" spans="1:34" ht="15.75" x14ac:dyDescent="0.25">
      <c r="A13" s="5"/>
      <c r="AA13" s="3" t="s">
        <v>133</v>
      </c>
      <c r="AB13" s="3" t="s">
        <v>134</v>
      </c>
    </row>
    <row r="14" spans="1:34" ht="15.75" x14ac:dyDescent="0.25">
      <c r="A14" s="6"/>
      <c r="AA14" s="3" t="s">
        <v>135</v>
      </c>
      <c r="AB14" s="3" t="s">
        <v>136</v>
      </c>
    </row>
    <row r="15" spans="1:34" ht="15.75" x14ac:dyDescent="0.25">
      <c r="A15" s="6"/>
      <c r="AA15" s="3" t="s">
        <v>137</v>
      </c>
      <c r="AB15" s="3" t="s">
        <v>138</v>
      </c>
    </row>
    <row r="16" spans="1:34" ht="15.75" x14ac:dyDescent="0.25">
      <c r="A16" s="5"/>
      <c r="AA16" s="3" t="s">
        <v>139</v>
      </c>
      <c r="AB16" s="3" t="s">
        <v>140</v>
      </c>
    </row>
    <row r="17" spans="1:30" ht="15.75" x14ac:dyDescent="0.25">
      <c r="A17" s="5"/>
      <c r="AA17" s="3" t="s">
        <v>141</v>
      </c>
      <c r="AB17" s="3" t="s">
        <v>142</v>
      </c>
    </row>
    <row r="18" spans="1:30" ht="15.75" x14ac:dyDescent="0.25">
      <c r="A18" s="5"/>
      <c r="AA18" s="3" t="s">
        <v>143</v>
      </c>
      <c r="AB18" s="3" t="s">
        <v>144</v>
      </c>
    </row>
    <row r="19" spans="1:30" ht="15.75" x14ac:dyDescent="0.25">
      <c r="A19" s="5"/>
      <c r="AA19" s="3" t="s">
        <v>145</v>
      </c>
      <c r="AB19" s="3" t="s">
        <v>146</v>
      </c>
    </row>
    <row r="20" spans="1:30" ht="15.75" x14ac:dyDescent="0.25">
      <c r="A20" s="5"/>
      <c r="AA20" s="13" t="s">
        <v>147</v>
      </c>
      <c r="AB20" s="13" t="s">
        <v>148</v>
      </c>
    </row>
    <row r="21" spans="1:30" ht="15.75" x14ac:dyDescent="0.25">
      <c r="A21" s="5"/>
      <c r="AA21" s="3" t="s">
        <v>149</v>
      </c>
      <c r="AB21" t="s">
        <v>150</v>
      </c>
    </row>
    <row r="22" spans="1:30" ht="15.75" x14ac:dyDescent="0.25">
      <c r="A22" s="5"/>
      <c r="AA22" s="13" t="s">
        <v>30</v>
      </c>
      <c r="AB22" s="13" t="s">
        <v>31</v>
      </c>
    </row>
    <row r="23" spans="1:30" ht="15.75" x14ac:dyDescent="0.25">
      <c r="A23" s="5"/>
    </row>
    <row r="24" spans="1:30" ht="15.75" x14ac:dyDescent="0.25">
      <c r="A24" s="5"/>
    </row>
    <row r="25" spans="1:30" ht="15.75" x14ac:dyDescent="0.25">
      <c r="A25" s="5"/>
    </row>
    <row r="26" spans="1:30" ht="15.75" x14ac:dyDescent="0.25">
      <c r="A26" s="5"/>
    </row>
    <row r="27" spans="1:30" ht="15.75" x14ac:dyDescent="0.25">
      <c r="A27" s="5"/>
      <c r="AC27" s="3"/>
      <c r="AD27" s="3"/>
    </row>
    <row r="28" spans="1:30" x14ac:dyDescent="0.2">
      <c r="AC28" s="3"/>
      <c r="AD28" s="3"/>
    </row>
    <row r="29" spans="1:30" ht="15.75" x14ac:dyDescent="0.25">
      <c r="A29" s="5"/>
      <c r="AC29" s="3"/>
      <c r="AD29" s="3"/>
    </row>
    <row r="30" spans="1:30" ht="15.75" x14ac:dyDescent="0.25">
      <c r="A30" s="5"/>
      <c r="AC30" s="3"/>
      <c r="AD30" s="3"/>
    </row>
    <row r="31" spans="1:30" ht="15.75" x14ac:dyDescent="0.25">
      <c r="A31" s="5"/>
      <c r="AC31" s="3"/>
      <c r="AD31" s="3"/>
    </row>
    <row r="32" spans="1:30" ht="15.75" x14ac:dyDescent="0.25">
      <c r="A32" s="5"/>
      <c r="AC32" s="3"/>
      <c r="AD32" s="3"/>
    </row>
    <row r="33" spans="1:30" ht="15.75" x14ac:dyDescent="0.25">
      <c r="A33" s="5"/>
      <c r="AC33" s="3"/>
      <c r="AD33" s="3"/>
    </row>
    <row r="34" spans="1:30" ht="15.75" x14ac:dyDescent="0.25">
      <c r="A34" s="6"/>
      <c r="AC34" s="3"/>
      <c r="AD34" s="3"/>
    </row>
    <row r="35" spans="1:30" ht="15.75" x14ac:dyDescent="0.25">
      <c r="A35" s="5"/>
      <c r="AC35" s="3"/>
      <c r="AD35" s="3"/>
    </row>
    <row r="36" spans="1:30" ht="15.75" x14ac:dyDescent="0.25">
      <c r="A36" s="5"/>
      <c r="AC36" s="3"/>
      <c r="AD36" s="3"/>
    </row>
    <row r="37" spans="1:30" ht="15.75" x14ac:dyDescent="0.25">
      <c r="A37" s="5"/>
      <c r="AC37" s="3"/>
      <c r="AD37" s="3"/>
    </row>
    <row r="38" spans="1:30" ht="15.75" x14ac:dyDescent="0.25">
      <c r="A38" s="5"/>
      <c r="AC38" s="3"/>
      <c r="AD38" s="3"/>
    </row>
    <row r="39" spans="1:30" ht="15.75" x14ac:dyDescent="0.25">
      <c r="A39" s="5"/>
    </row>
    <row r="40" spans="1:30" ht="15.75" x14ac:dyDescent="0.25">
      <c r="A40" s="5"/>
    </row>
    <row r="41" spans="1:30" ht="15.75" x14ac:dyDescent="0.25">
      <c r="A41" s="5"/>
    </row>
    <row r="42" spans="1:30" ht="15.75" x14ac:dyDescent="0.25">
      <c r="A42" s="5"/>
    </row>
    <row r="43" spans="1:30" ht="15.75" x14ac:dyDescent="0.25">
      <c r="A43" s="6"/>
    </row>
    <row r="44" spans="1:30" ht="15.75" x14ac:dyDescent="0.25">
      <c r="A44" s="5"/>
    </row>
    <row r="45" spans="1:30" ht="15.75" x14ac:dyDescent="0.25">
      <c r="A45" s="5"/>
    </row>
    <row r="46" spans="1:30" ht="15.75" x14ac:dyDescent="0.25">
      <c r="A46" s="5"/>
    </row>
    <row r="47" spans="1:30" ht="15.75" x14ac:dyDescent="0.25">
      <c r="A47" s="5"/>
    </row>
    <row r="48" spans="1:30" ht="15.75" x14ac:dyDescent="0.25">
      <c r="A48" s="5"/>
    </row>
    <row r="49" spans="1:1" ht="15.75" x14ac:dyDescent="0.25">
      <c r="A49" s="5"/>
    </row>
    <row r="50" spans="1:1" ht="15.75" x14ac:dyDescent="0.25">
      <c r="A50" s="5"/>
    </row>
    <row r="51" spans="1:1" ht="15.75" x14ac:dyDescent="0.25">
      <c r="A51" s="5"/>
    </row>
    <row r="52" spans="1:1" ht="15.75" x14ac:dyDescent="0.25">
      <c r="A52" s="5"/>
    </row>
  </sheetData>
  <phoneticPr fontId="0" type="noConversion"/>
  <pageMargins left="0.75" right="0.75" top="0.52" bottom="0.39" header="0.27" footer="0.17"/>
  <pageSetup orientation="landscape" r:id="rId1"/>
  <headerFooter alignWithMargins="0"/>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27"/>
  <sheetViews>
    <sheetView workbookViewId="0">
      <selection activeCell="B4" sqref="B4"/>
    </sheetView>
  </sheetViews>
  <sheetFormatPr defaultColWidth="9.140625" defaultRowHeight="10.5" x14ac:dyDescent="0.2"/>
  <cols>
    <col min="1" max="1" width="16.28515625" style="36" customWidth="1"/>
    <col min="2" max="2" width="12" style="36" customWidth="1"/>
    <col min="3" max="3" width="17.85546875" style="36" bestFit="1" customWidth="1"/>
    <col min="4" max="16384" width="9.140625" style="36"/>
  </cols>
  <sheetData>
    <row r="1" spans="1:14" x14ac:dyDescent="0.2">
      <c r="A1" s="44" t="s">
        <v>62</v>
      </c>
      <c r="B1" s="72" t="s">
        <v>56</v>
      </c>
      <c r="C1" s="74"/>
      <c r="D1" s="46"/>
      <c r="E1" s="46"/>
      <c r="F1" s="46"/>
      <c r="G1" s="46"/>
      <c r="H1" s="46"/>
      <c r="I1" s="46"/>
      <c r="J1" s="46"/>
      <c r="K1" s="46"/>
      <c r="L1" s="46"/>
      <c r="M1" s="46"/>
      <c r="N1" s="47"/>
    </row>
    <row r="2" spans="1:14" x14ac:dyDescent="0.2">
      <c r="A2" s="48" t="s">
        <v>111</v>
      </c>
      <c r="B2" s="75" t="s">
        <v>110</v>
      </c>
      <c r="C2" s="73"/>
      <c r="D2" s="43"/>
      <c r="E2" s="43"/>
      <c r="F2" s="43"/>
      <c r="G2" s="43"/>
      <c r="H2" s="43"/>
      <c r="I2" s="43"/>
      <c r="J2" s="43"/>
      <c r="K2" s="43"/>
      <c r="L2" s="43"/>
      <c r="M2" s="43"/>
      <c r="N2" s="50"/>
    </row>
    <row r="3" spans="1:14" x14ac:dyDescent="0.15">
      <c r="A3" s="48" t="s">
        <v>63</v>
      </c>
      <c r="B3" s="76" t="s">
        <v>119</v>
      </c>
      <c r="C3" s="49"/>
      <c r="D3" s="38"/>
      <c r="E3" s="38"/>
      <c r="F3" s="38"/>
      <c r="G3" s="38"/>
      <c r="H3" s="38"/>
      <c r="I3" s="38"/>
      <c r="J3" s="38"/>
      <c r="K3" s="38"/>
      <c r="L3" s="38"/>
      <c r="M3" s="38"/>
      <c r="N3" s="50"/>
    </row>
    <row r="4" spans="1:14" x14ac:dyDescent="0.2">
      <c r="A4" s="48" t="s">
        <v>64</v>
      </c>
      <c r="B4" s="49" t="s">
        <v>120</v>
      </c>
      <c r="C4" s="49"/>
      <c r="D4" s="38"/>
      <c r="E4" s="38"/>
      <c r="F4" s="38"/>
      <c r="G4" s="38"/>
      <c r="H4" s="38"/>
      <c r="I4" s="38"/>
      <c r="J4" s="38"/>
      <c r="K4" s="38"/>
      <c r="L4" s="38"/>
      <c r="M4" s="38"/>
      <c r="N4" s="50"/>
    </row>
    <row r="5" spans="1:14" x14ac:dyDescent="0.2">
      <c r="A5" s="48" t="s">
        <v>65</v>
      </c>
      <c r="B5" s="49" t="s">
        <v>121</v>
      </c>
      <c r="C5" s="49"/>
      <c r="D5" s="38"/>
      <c r="E5" s="38"/>
      <c r="F5" s="38"/>
      <c r="G5" s="38"/>
      <c r="H5" s="38"/>
      <c r="I5" s="38"/>
      <c r="J5" s="38"/>
      <c r="K5" s="38"/>
      <c r="L5" s="38"/>
      <c r="M5" s="38"/>
      <c r="N5" s="50"/>
    </row>
    <row r="6" spans="1:14" x14ac:dyDescent="0.2">
      <c r="A6" s="48"/>
      <c r="B6" s="49"/>
      <c r="C6" s="49"/>
      <c r="D6" s="38"/>
      <c r="E6" s="38"/>
      <c r="F6" s="38"/>
      <c r="G6" s="38"/>
      <c r="H6" s="38"/>
      <c r="I6" s="38"/>
      <c r="J6" s="38"/>
      <c r="K6" s="38"/>
      <c r="L6" s="38"/>
      <c r="M6" s="38"/>
      <c r="N6" s="50"/>
    </row>
    <row r="7" spans="1:14" x14ac:dyDescent="0.2">
      <c r="A7" s="48"/>
      <c r="B7" s="38" t="s">
        <v>50</v>
      </c>
      <c r="C7" s="38" t="s">
        <v>105</v>
      </c>
      <c r="D7" s="39" t="s">
        <v>51</v>
      </c>
      <c r="E7" s="38"/>
      <c r="F7" s="38"/>
      <c r="G7" s="38"/>
      <c r="H7" s="38"/>
      <c r="I7" s="38"/>
      <c r="J7" s="38"/>
      <c r="K7" s="38"/>
      <c r="L7" s="38"/>
      <c r="M7" s="38"/>
      <c r="N7" s="55"/>
    </row>
    <row r="8" spans="1:14" x14ac:dyDescent="0.2">
      <c r="A8" s="48" t="s">
        <v>49</v>
      </c>
      <c r="B8" s="44" t="s">
        <v>54</v>
      </c>
      <c r="C8" s="46" t="s">
        <v>106</v>
      </c>
      <c r="D8" s="45" t="s">
        <v>59</v>
      </c>
      <c r="E8" s="46"/>
      <c r="F8" s="46"/>
      <c r="G8" s="46"/>
      <c r="H8" s="46"/>
      <c r="I8" s="46"/>
      <c r="J8" s="46"/>
      <c r="K8" s="46"/>
      <c r="L8" s="46"/>
      <c r="M8" s="46"/>
      <c r="N8" s="47"/>
    </row>
    <row r="9" spans="1:14" x14ac:dyDescent="0.2">
      <c r="A9" s="48"/>
      <c r="B9" s="48" t="s">
        <v>57</v>
      </c>
      <c r="C9" s="43" t="s">
        <v>107</v>
      </c>
      <c r="D9" s="49"/>
      <c r="E9" s="43"/>
      <c r="F9" s="43"/>
      <c r="G9" s="43"/>
      <c r="H9" s="43"/>
      <c r="I9" s="43"/>
      <c r="J9" s="43"/>
      <c r="K9" s="43"/>
      <c r="L9" s="43"/>
      <c r="M9" s="43"/>
      <c r="N9" s="50"/>
    </row>
    <row r="10" spans="1:14" x14ac:dyDescent="0.2">
      <c r="A10" s="48"/>
      <c r="B10" s="48" t="s">
        <v>55</v>
      </c>
      <c r="C10" s="43" t="s">
        <v>109</v>
      </c>
      <c r="D10" s="49" t="s">
        <v>116</v>
      </c>
      <c r="E10" s="43"/>
      <c r="F10" s="43"/>
      <c r="G10" s="43"/>
      <c r="H10" s="43"/>
      <c r="I10" s="43"/>
      <c r="J10" s="43"/>
      <c r="K10" s="43"/>
      <c r="L10" s="43"/>
      <c r="M10" s="43"/>
      <c r="N10" s="50"/>
    </row>
    <row r="11" spans="1:14" x14ac:dyDescent="0.2">
      <c r="A11" s="48"/>
      <c r="B11" s="48" t="s">
        <v>58</v>
      </c>
      <c r="C11" s="43" t="s">
        <v>108</v>
      </c>
      <c r="D11" s="49"/>
      <c r="E11" s="43"/>
      <c r="F11" s="43"/>
      <c r="G11" s="43"/>
      <c r="H11" s="43"/>
      <c r="I11" s="43"/>
      <c r="J11" s="43"/>
      <c r="K11" s="43"/>
      <c r="L11" s="43"/>
      <c r="M11" s="43"/>
      <c r="N11" s="50"/>
    </row>
    <row r="12" spans="1:14" x14ac:dyDescent="0.2">
      <c r="A12" s="48"/>
      <c r="B12" s="48" t="s">
        <v>56</v>
      </c>
      <c r="C12" s="43" t="s">
        <v>110</v>
      </c>
      <c r="D12" s="49" t="s">
        <v>119</v>
      </c>
      <c r="E12" s="43"/>
      <c r="F12" s="43"/>
      <c r="G12" s="43"/>
      <c r="H12" s="43"/>
      <c r="I12" s="43"/>
      <c r="J12" s="43"/>
      <c r="K12" s="43"/>
      <c r="L12" s="43"/>
      <c r="M12" s="43"/>
      <c r="N12" s="50"/>
    </row>
    <row r="13" spans="1:14" x14ac:dyDescent="0.2">
      <c r="A13" s="48"/>
      <c r="B13" s="48"/>
      <c r="C13" s="43"/>
      <c r="D13" s="49"/>
      <c r="E13" s="43"/>
      <c r="F13" s="43"/>
      <c r="G13" s="43"/>
      <c r="H13" s="43"/>
      <c r="I13" s="43"/>
      <c r="J13" s="43"/>
      <c r="K13" s="43"/>
      <c r="L13" s="43"/>
      <c r="M13" s="43"/>
      <c r="N13" s="50"/>
    </row>
    <row r="14" spans="1:14" x14ac:dyDescent="0.2">
      <c r="A14" s="48" t="s">
        <v>52</v>
      </c>
      <c r="B14" s="44" t="s">
        <v>54</v>
      </c>
      <c r="C14" s="46" t="s">
        <v>106</v>
      </c>
      <c r="D14" s="51" t="s">
        <v>60</v>
      </c>
      <c r="E14" s="46"/>
      <c r="F14" s="46"/>
      <c r="G14" s="46"/>
      <c r="H14" s="46"/>
      <c r="I14" s="46"/>
      <c r="J14" s="46"/>
      <c r="K14" s="46"/>
      <c r="L14" s="46"/>
      <c r="M14" s="46"/>
      <c r="N14" s="47"/>
    </row>
    <row r="15" spans="1:14" x14ac:dyDescent="0.2">
      <c r="A15" s="48"/>
      <c r="B15" s="48" t="s">
        <v>57</v>
      </c>
      <c r="C15" s="43" t="s">
        <v>107</v>
      </c>
      <c r="D15" s="49"/>
      <c r="E15" s="43"/>
      <c r="F15" s="43"/>
      <c r="G15" s="43"/>
      <c r="H15" s="43"/>
      <c r="I15" s="43"/>
      <c r="J15" s="43"/>
      <c r="K15" s="43"/>
      <c r="L15" s="43"/>
      <c r="M15" s="43"/>
      <c r="N15" s="50"/>
    </row>
    <row r="16" spans="1:14" x14ac:dyDescent="0.2">
      <c r="A16" s="48"/>
      <c r="B16" s="48" t="s">
        <v>55</v>
      </c>
      <c r="C16" s="43" t="s">
        <v>109</v>
      </c>
      <c r="D16" s="49" t="s">
        <v>118</v>
      </c>
      <c r="E16" s="43"/>
      <c r="F16" s="43"/>
      <c r="G16" s="43"/>
      <c r="H16" s="43"/>
      <c r="I16" s="43"/>
      <c r="J16" s="43"/>
      <c r="K16" s="43"/>
      <c r="L16" s="43"/>
      <c r="M16" s="43"/>
      <c r="N16" s="50"/>
    </row>
    <row r="17" spans="1:14" x14ac:dyDescent="0.2">
      <c r="A17" s="48"/>
      <c r="B17" s="48" t="s">
        <v>58</v>
      </c>
      <c r="C17" s="43" t="s">
        <v>108</v>
      </c>
      <c r="D17" s="49"/>
      <c r="E17" s="43"/>
      <c r="F17" s="43"/>
      <c r="G17" s="43"/>
      <c r="H17" s="43"/>
      <c r="I17" s="43"/>
      <c r="J17" s="43"/>
      <c r="K17" s="43"/>
      <c r="L17" s="43"/>
      <c r="M17" s="43"/>
      <c r="N17" s="50"/>
    </row>
    <row r="18" spans="1:14" x14ac:dyDescent="0.2">
      <c r="A18" s="48"/>
      <c r="B18" s="48" t="s">
        <v>56</v>
      </c>
      <c r="C18" s="43" t="s">
        <v>110</v>
      </c>
      <c r="D18" s="49" t="s">
        <v>120</v>
      </c>
      <c r="E18" s="43"/>
      <c r="F18" s="43"/>
      <c r="G18" s="43"/>
      <c r="H18" s="43"/>
      <c r="I18" s="43"/>
      <c r="J18" s="43"/>
      <c r="K18" s="43"/>
      <c r="L18" s="43"/>
      <c r="M18" s="43"/>
      <c r="N18" s="50"/>
    </row>
    <row r="19" spans="1:14" x14ac:dyDescent="0.2">
      <c r="A19" s="48"/>
      <c r="B19" s="52"/>
      <c r="C19" s="54"/>
      <c r="D19" s="53"/>
      <c r="E19" s="54"/>
      <c r="F19" s="54"/>
      <c r="G19" s="54"/>
      <c r="H19" s="54"/>
      <c r="I19" s="54"/>
      <c r="J19" s="54"/>
      <c r="K19" s="54"/>
      <c r="L19" s="54"/>
      <c r="M19" s="54"/>
      <c r="N19" s="55"/>
    </row>
    <row r="20" spans="1:14" x14ac:dyDescent="0.2">
      <c r="A20" s="48" t="s">
        <v>53</v>
      </c>
      <c r="B20" s="48" t="s">
        <v>54</v>
      </c>
      <c r="C20" s="46" t="s">
        <v>106</v>
      </c>
      <c r="D20" s="49" t="s">
        <v>61</v>
      </c>
      <c r="E20" s="43"/>
      <c r="F20" s="43"/>
      <c r="G20" s="43"/>
      <c r="H20" s="43"/>
      <c r="I20" s="43"/>
      <c r="J20" s="43"/>
      <c r="K20" s="43"/>
      <c r="L20" s="43"/>
      <c r="M20" s="43"/>
      <c r="N20" s="50"/>
    </row>
    <row r="21" spans="1:14" x14ac:dyDescent="0.2">
      <c r="A21" s="48"/>
      <c r="B21" s="48" t="s">
        <v>57</v>
      </c>
      <c r="C21" s="43" t="s">
        <v>107</v>
      </c>
      <c r="D21" s="49"/>
      <c r="E21" s="43"/>
      <c r="F21" s="43"/>
      <c r="G21" s="43"/>
      <c r="H21" s="43"/>
      <c r="I21" s="43"/>
      <c r="J21" s="43"/>
      <c r="K21" s="43"/>
      <c r="L21" s="43"/>
      <c r="M21" s="43"/>
      <c r="N21" s="50"/>
    </row>
    <row r="22" spans="1:14" x14ac:dyDescent="0.2">
      <c r="A22" s="48"/>
      <c r="B22" s="48" t="s">
        <v>55</v>
      </c>
      <c r="C22" s="43" t="s">
        <v>109</v>
      </c>
      <c r="D22" s="49" t="s">
        <v>117</v>
      </c>
      <c r="E22" s="43"/>
      <c r="F22" s="43"/>
      <c r="G22" s="43"/>
      <c r="H22" s="43"/>
      <c r="I22" s="43"/>
      <c r="J22" s="43"/>
      <c r="K22" s="43"/>
      <c r="L22" s="43"/>
      <c r="M22" s="43"/>
      <c r="N22" s="50"/>
    </row>
    <row r="23" spans="1:14" x14ac:dyDescent="0.2">
      <c r="A23" s="48"/>
      <c r="B23" s="48" t="s">
        <v>58</v>
      </c>
      <c r="C23" s="43" t="s">
        <v>108</v>
      </c>
      <c r="D23" s="49"/>
      <c r="E23" s="43"/>
      <c r="F23" s="43"/>
      <c r="G23" s="43"/>
      <c r="H23" s="43"/>
      <c r="I23" s="43"/>
      <c r="J23" s="43"/>
      <c r="K23" s="43"/>
      <c r="L23" s="43"/>
      <c r="M23" s="43"/>
      <c r="N23" s="50"/>
    </row>
    <row r="24" spans="1:14" x14ac:dyDescent="0.2">
      <c r="A24" s="48"/>
      <c r="B24" s="48" t="s">
        <v>56</v>
      </c>
      <c r="C24" s="43" t="s">
        <v>110</v>
      </c>
      <c r="D24" s="49" t="s">
        <v>121</v>
      </c>
      <c r="E24" s="43"/>
      <c r="F24" s="43"/>
      <c r="G24" s="43"/>
      <c r="H24" s="43"/>
      <c r="I24" s="43"/>
      <c r="J24" s="43"/>
      <c r="K24" s="43"/>
      <c r="L24" s="43"/>
      <c r="M24" s="43"/>
      <c r="N24" s="50"/>
    </row>
    <row r="25" spans="1:14" x14ac:dyDescent="0.2">
      <c r="A25" s="48"/>
      <c r="B25" s="52"/>
      <c r="C25" s="54"/>
      <c r="D25" s="54"/>
      <c r="E25" s="54"/>
      <c r="F25" s="54"/>
      <c r="G25" s="54"/>
      <c r="H25" s="54"/>
      <c r="I25" s="54"/>
      <c r="J25" s="54"/>
      <c r="K25" s="54"/>
      <c r="L25" s="54"/>
      <c r="M25" s="54"/>
      <c r="N25" s="55"/>
    </row>
    <row r="26" spans="1:14" ht="150" customHeight="1" x14ac:dyDescent="0.2">
      <c r="A26" s="48" t="s">
        <v>48</v>
      </c>
      <c r="B26" s="186" t="s">
        <v>337</v>
      </c>
      <c r="C26" s="187"/>
      <c r="D26" s="187"/>
      <c r="E26" s="187"/>
      <c r="F26" s="187"/>
      <c r="G26" s="187"/>
      <c r="H26" s="187"/>
      <c r="I26" s="187"/>
      <c r="J26" s="187"/>
      <c r="K26" s="187"/>
      <c r="L26" s="187"/>
      <c r="M26" s="187"/>
      <c r="N26" s="188"/>
    </row>
    <row r="27" spans="1:14" ht="150" customHeight="1" x14ac:dyDescent="0.2">
      <c r="A27" s="56" t="s">
        <v>94</v>
      </c>
      <c r="B27" s="186" t="s">
        <v>338</v>
      </c>
      <c r="C27" s="187"/>
      <c r="D27" s="187"/>
      <c r="E27" s="187"/>
      <c r="F27" s="187"/>
      <c r="G27" s="187"/>
      <c r="H27" s="187"/>
      <c r="I27" s="187"/>
      <c r="J27" s="187"/>
      <c r="K27" s="187"/>
      <c r="L27" s="187"/>
      <c r="M27" s="187"/>
      <c r="N27" s="188"/>
    </row>
  </sheetData>
  <sheetProtection sheet="1" objects="1" scenarios="1"/>
  <mergeCells count="2">
    <mergeCell ref="B26:N26"/>
    <mergeCell ref="B27:N27"/>
  </mergeCells>
  <dataValidations count="1">
    <dataValidation type="list" allowBlank="1" showInputMessage="1" showErrorMessage="1" sqref="B1">
      <formula1>IB_URL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32"/>
  <sheetViews>
    <sheetView workbookViewId="0">
      <selection activeCell="A10" sqref="A10"/>
    </sheetView>
  </sheetViews>
  <sheetFormatPr defaultColWidth="9.140625" defaultRowHeight="10.5" x14ac:dyDescent="0.2"/>
  <cols>
    <col min="1" max="1" width="9.140625" style="37"/>
    <col min="2" max="2" width="9.140625" style="57"/>
    <col min="3" max="3" width="9.140625" style="37"/>
    <col min="4" max="4" width="9.42578125" style="37" bestFit="1" customWidth="1"/>
    <col min="5" max="5" width="26.140625" style="37" bestFit="1" customWidth="1"/>
    <col min="6" max="6" width="39.5703125" style="37" customWidth="1"/>
    <col min="7" max="16384" width="9.140625" style="37"/>
  </cols>
  <sheetData>
    <row r="1" spans="1:7" x14ac:dyDescent="0.2">
      <c r="A1" s="58" t="s">
        <v>66</v>
      </c>
      <c r="B1" s="59" t="s">
        <v>67</v>
      </c>
      <c r="C1" s="60" t="s">
        <v>68</v>
      </c>
      <c r="D1" s="60" t="s">
        <v>71</v>
      </c>
      <c r="E1" s="60" t="s">
        <v>72</v>
      </c>
      <c r="F1" s="60" t="s">
        <v>69</v>
      </c>
      <c r="G1" s="61"/>
    </row>
    <row r="2" spans="1:7" x14ac:dyDescent="0.2">
      <c r="A2" s="62" t="s">
        <v>70</v>
      </c>
      <c r="B2" s="63">
        <v>41948</v>
      </c>
      <c r="C2" s="42" t="s">
        <v>73</v>
      </c>
      <c r="D2" s="42" t="s">
        <v>74</v>
      </c>
      <c r="E2" s="42" t="s">
        <v>75</v>
      </c>
      <c r="F2" s="42" t="s">
        <v>76</v>
      </c>
      <c r="G2" s="64"/>
    </row>
    <row r="3" spans="1:7" x14ac:dyDescent="0.2">
      <c r="A3" s="65"/>
      <c r="B3" s="66"/>
      <c r="C3" s="40"/>
      <c r="D3" s="40"/>
      <c r="E3" s="40" t="s">
        <v>77</v>
      </c>
      <c r="F3" s="40" t="s">
        <v>76</v>
      </c>
      <c r="G3" s="67"/>
    </row>
    <row r="4" spans="1:7" x14ac:dyDescent="0.2">
      <c r="A4" s="65"/>
      <c r="B4" s="66"/>
      <c r="C4" s="40"/>
      <c r="D4" s="40"/>
      <c r="E4" s="40" t="s">
        <v>103</v>
      </c>
      <c r="F4" s="40" t="s">
        <v>104</v>
      </c>
      <c r="G4" s="67"/>
    </row>
    <row r="5" spans="1:7" x14ac:dyDescent="0.2">
      <c r="A5" s="65"/>
      <c r="B5" s="66"/>
      <c r="C5" s="40"/>
      <c r="D5" s="40"/>
      <c r="E5" s="40"/>
      <c r="F5" s="40"/>
      <c r="G5" s="67"/>
    </row>
    <row r="6" spans="1:7" x14ac:dyDescent="0.2">
      <c r="A6" s="65"/>
      <c r="B6" s="66"/>
      <c r="C6" s="40"/>
      <c r="D6" s="40" t="s">
        <v>78</v>
      </c>
      <c r="E6" s="40" t="s">
        <v>79</v>
      </c>
      <c r="F6" s="40" t="s">
        <v>87</v>
      </c>
      <c r="G6" s="67"/>
    </row>
    <row r="7" spans="1:7" x14ac:dyDescent="0.2">
      <c r="A7" s="65"/>
      <c r="B7" s="66"/>
      <c r="C7" s="40"/>
      <c r="D7" s="40"/>
      <c r="E7" s="40" t="s">
        <v>96</v>
      </c>
      <c r="F7" s="40" t="s">
        <v>97</v>
      </c>
      <c r="G7" s="67"/>
    </row>
    <row r="8" spans="1:7" x14ac:dyDescent="0.2">
      <c r="A8" s="65"/>
      <c r="B8" s="66"/>
      <c r="C8" s="40"/>
      <c r="D8" s="40"/>
      <c r="E8" s="40"/>
      <c r="F8" s="40" t="s">
        <v>98</v>
      </c>
      <c r="G8" s="67"/>
    </row>
    <row r="9" spans="1:7" x14ac:dyDescent="0.2">
      <c r="A9" s="65"/>
      <c r="B9" s="66"/>
      <c r="C9" s="40"/>
      <c r="D9" s="40"/>
      <c r="E9" s="40" t="s">
        <v>99</v>
      </c>
      <c r="F9" s="40" t="s">
        <v>97</v>
      </c>
      <c r="G9" s="67"/>
    </row>
    <row r="10" spans="1:7" x14ac:dyDescent="0.2">
      <c r="A10" s="65"/>
      <c r="B10" s="66"/>
      <c r="C10" s="40"/>
      <c r="D10" s="40"/>
      <c r="E10" s="40"/>
      <c r="F10" s="40" t="s">
        <v>98</v>
      </c>
      <c r="G10" s="67"/>
    </row>
    <row r="11" spans="1:7" x14ac:dyDescent="0.2">
      <c r="A11" s="65"/>
      <c r="B11" s="66"/>
      <c r="C11" s="40"/>
      <c r="D11" s="40"/>
      <c r="E11" s="40" t="s">
        <v>100</v>
      </c>
      <c r="F11" s="40" t="s">
        <v>102</v>
      </c>
      <c r="G11" s="67"/>
    </row>
    <row r="12" spans="1:7" x14ac:dyDescent="0.2">
      <c r="A12" s="65"/>
      <c r="B12" s="66"/>
      <c r="C12" s="40"/>
      <c r="D12" s="40"/>
      <c r="E12" s="40"/>
      <c r="F12" s="40" t="s">
        <v>101</v>
      </c>
      <c r="G12" s="67"/>
    </row>
    <row r="13" spans="1:7" x14ac:dyDescent="0.2">
      <c r="A13" s="65"/>
      <c r="B13" s="66"/>
      <c r="C13" s="40"/>
      <c r="D13" s="40"/>
      <c r="E13" s="40"/>
      <c r="F13" s="40"/>
      <c r="G13" s="67"/>
    </row>
    <row r="14" spans="1:7" x14ac:dyDescent="0.2">
      <c r="A14" s="65"/>
      <c r="B14" s="66"/>
      <c r="C14" s="40"/>
      <c r="D14" s="40" t="s">
        <v>80</v>
      </c>
      <c r="E14" s="40" t="s">
        <v>81</v>
      </c>
      <c r="F14" s="40" t="s">
        <v>84</v>
      </c>
      <c r="G14" s="67"/>
    </row>
    <row r="15" spans="1:7" x14ac:dyDescent="0.2">
      <c r="A15" s="65"/>
      <c r="B15" s="66"/>
      <c r="C15" s="40"/>
      <c r="D15" s="40"/>
      <c r="E15" s="40" t="s">
        <v>82</v>
      </c>
      <c r="F15" s="40" t="s">
        <v>85</v>
      </c>
      <c r="G15" s="67"/>
    </row>
    <row r="16" spans="1:7" x14ac:dyDescent="0.2">
      <c r="A16" s="65"/>
      <c r="B16" s="66"/>
      <c r="C16" s="40"/>
      <c r="D16" s="40"/>
      <c r="E16" s="40" t="s">
        <v>83</v>
      </c>
      <c r="F16" s="40" t="s">
        <v>86</v>
      </c>
      <c r="G16" s="67"/>
    </row>
    <row r="17" spans="1:7" x14ac:dyDescent="0.2">
      <c r="A17" s="65"/>
      <c r="B17" s="66"/>
      <c r="C17" s="40"/>
      <c r="D17" s="40"/>
      <c r="E17" s="40" t="s">
        <v>88</v>
      </c>
      <c r="F17" s="40" t="s">
        <v>91</v>
      </c>
      <c r="G17" s="67"/>
    </row>
    <row r="18" spans="1:7" x14ac:dyDescent="0.2">
      <c r="A18" s="65"/>
      <c r="B18" s="66"/>
      <c r="C18" s="40"/>
      <c r="D18" s="40"/>
      <c r="E18" s="40" t="s">
        <v>89</v>
      </c>
      <c r="F18" s="40" t="s">
        <v>92</v>
      </c>
      <c r="G18" s="67"/>
    </row>
    <row r="19" spans="1:7" x14ac:dyDescent="0.2">
      <c r="A19" s="65"/>
      <c r="B19" s="66"/>
      <c r="C19" s="40"/>
      <c r="D19" s="40"/>
      <c r="E19" s="40" t="s">
        <v>90</v>
      </c>
      <c r="F19" s="40" t="s">
        <v>93</v>
      </c>
      <c r="G19" s="67"/>
    </row>
    <row r="20" spans="1:7" x14ac:dyDescent="0.2">
      <c r="A20" s="65"/>
      <c r="B20" s="66"/>
      <c r="C20" s="40"/>
      <c r="D20" s="40"/>
      <c r="E20" s="40"/>
      <c r="F20" s="40"/>
      <c r="G20" s="67"/>
    </row>
    <row r="21" spans="1:7" x14ac:dyDescent="0.2">
      <c r="A21" s="65"/>
      <c r="B21" s="66"/>
      <c r="C21" s="40"/>
      <c r="D21" s="40" t="s">
        <v>112</v>
      </c>
      <c r="E21" s="40" t="s">
        <v>113</v>
      </c>
      <c r="F21" s="40" t="s">
        <v>114</v>
      </c>
      <c r="G21" s="67"/>
    </row>
    <row r="22" spans="1:7" x14ac:dyDescent="0.2">
      <c r="A22" s="65"/>
      <c r="B22" s="66"/>
      <c r="C22" s="40"/>
      <c r="D22" s="40"/>
      <c r="E22" s="40" t="s">
        <v>115</v>
      </c>
      <c r="F22" s="40" t="s">
        <v>114</v>
      </c>
      <c r="G22" s="67"/>
    </row>
    <row r="23" spans="1:7" x14ac:dyDescent="0.2">
      <c r="A23" s="68"/>
      <c r="B23" s="69"/>
      <c r="C23" s="41"/>
      <c r="D23" s="41"/>
      <c r="E23" s="41"/>
      <c r="F23" s="41"/>
      <c r="G23" s="70"/>
    </row>
    <row r="24" spans="1:7" x14ac:dyDescent="0.2">
      <c r="A24" s="62"/>
      <c r="B24" s="63"/>
      <c r="C24" s="42"/>
      <c r="D24" s="42"/>
      <c r="E24" s="42"/>
      <c r="F24" s="42"/>
      <c r="G24" s="64"/>
    </row>
    <row r="25" spans="1:7" x14ac:dyDescent="0.2">
      <c r="A25" s="65"/>
      <c r="B25" s="66"/>
      <c r="C25" s="40"/>
      <c r="D25" s="40"/>
      <c r="E25" s="40"/>
      <c r="F25" s="40"/>
      <c r="G25" s="67"/>
    </row>
    <row r="26" spans="1:7" x14ac:dyDescent="0.2">
      <c r="A26" s="68"/>
      <c r="B26" s="69"/>
      <c r="C26" s="41"/>
      <c r="D26" s="41"/>
      <c r="E26" s="41"/>
      <c r="F26" s="41"/>
      <c r="G26" s="70"/>
    </row>
    <row r="27" spans="1:7" x14ac:dyDescent="0.2">
      <c r="A27" s="62"/>
      <c r="B27" s="63"/>
      <c r="C27" s="42"/>
      <c r="D27" s="42"/>
      <c r="E27" s="42"/>
      <c r="F27" s="42"/>
      <c r="G27" s="64"/>
    </row>
    <row r="28" spans="1:7" x14ac:dyDescent="0.2">
      <c r="A28" s="65"/>
      <c r="B28" s="66"/>
      <c r="C28" s="40"/>
      <c r="D28" s="40"/>
      <c r="E28" s="40"/>
      <c r="F28" s="40"/>
      <c r="G28" s="67"/>
    </row>
    <row r="29" spans="1:7" x14ac:dyDescent="0.2">
      <c r="A29" s="68"/>
      <c r="B29" s="69"/>
      <c r="C29" s="41"/>
      <c r="D29" s="41"/>
      <c r="E29" s="41"/>
      <c r="F29" s="41"/>
      <c r="G29" s="70"/>
    </row>
    <row r="30" spans="1:7" x14ac:dyDescent="0.2">
      <c r="A30" s="62"/>
      <c r="B30" s="63"/>
      <c r="C30" s="42"/>
      <c r="D30" s="42"/>
      <c r="E30" s="42"/>
      <c r="F30" s="42"/>
      <c r="G30" s="64"/>
    </row>
    <row r="31" spans="1:7" x14ac:dyDescent="0.2">
      <c r="A31" s="65"/>
      <c r="B31" s="66"/>
      <c r="C31" s="40"/>
      <c r="D31" s="40"/>
      <c r="E31" s="40"/>
      <c r="F31" s="40"/>
      <c r="G31" s="67"/>
    </row>
    <row r="32" spans="1:7" x14ac:dyDescent="0.2">
      <c r="A32" s="68"/>
      <c r="B32" s="69"/>
      <c r="C32" s="41"/>
      <c r="D32" s="41"/>
      <c r="E32" s="41"/>
      <c r="F32" s="41"/>
      <c r="G32" s="70"/>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Dialogs</vt:lpstr>
      </vt:variant>
      <vt:variant>
        <vt:i4>1</vt:i4>
      </vt:variant>
      <vt:variant>
        <vt:lpstr>Named Ranges</vt:lpstr>
      </vt:variant>
      <vt:variant>
        <vt:i4>1136</vt:i4>
      </vt:variant>
    </vt:vector>
  </HeadingPairs>
  <TitlesOfParts>
    <vt:vector size="1143" baseType="lpstr">
      <vt:lpstr>GL Template</vt:lpstr>
      <vt:lpstr>Instructions</vt:lpstr>
      <vt:lpstr>Web Links</vt:lpstr>
      <vt:lpstr>Drop Downs</vt:lpstr>
      <vt:lpstr>SOAP</vt:lpstr>
      <vt:lpstr>Change Log</vt:lpstr>
      <vt:lpstr>DialogFile</vt:lpstr>
      <vt:lpstr>_Ref1</vt:lpstr>
      <vt:lpstr>Account</vt:lpstr>
      <vt:lpstr>Account1</vt:lpstr>
      <vt:lpstr>AnalysisType</vt:lpstr>
      <vt:lpstr>Batch_ID</vt:lpstr>
      <vt:lpstr>BatchIDPath</vt:lpstr>
      <vt:lpstr>BU_List</vt:lpstr>
      <vt:lpstr>BusList</vt:lpstr>
      <vt:lpstr>BusUnitHdrI</vt:lpstr>
      <vt:lpstr>Campus_List</vt:lpstr>
      <vt:lpstr>CampusList</vt:lpstr>
      <vt:lpstr>Class</vt:lpstr>
      <vt:lpstr>co_number</vt:lpstr>
      <vt:lpstr>CtrlTot</vt:lpstr>
      <vt:lpstr>DeptID</vt:lpstr>
      <vt:lpstr>DeptID1</vt:lpstr>
      <vt:lpstr>Desc1</vt:lpstr>
      <vt:lpstr>Descr</vt:lpstr>
      <vt:lpstr>Fund</vt:lpstr>
      <vt:lpstr>Fund1</vt:lpstr>
      <vt:lpstr>'Web Links'!GetCFData4PA.cfm?BU_0_AcctCode_0</vt:lpstr>
      <vt:lpstr>'Web Links'!GetCFData4PA.cfm?BU_0_AcctCode_0_1</vt:lpstr>
      <vt:lpstr>'Web Links'!GetCFData4PA.cfm?BU_0_AcctCode_0_10</vt:lpstr>
      <vt:lpstr>'Web Links'!GetCFData4PA.cfm?BU_0_AcctCode_0_100</vt:lpstr>
      <vt:lpstr>'Web Links'!GetCFData4PA.cfm?BU_0_AcctCode_0_101</vt:lpstr>
      <vt:lpstr>'Web Links'!GetCFData4PA.cfm?BU_0_AcctCode_0_102</vt:lpstr>
      <vt:lpstr>'Web Links'!GetCFData4PA.cfm?BU_0_AcctCode_0_103</vt:lpstr>
      <vt:lpstr>'Web Links'!GetCFData4PA.cfm?BU_0_AcctCode_0_104</vt:lpstr>
      <vt:lpstr>'Web Links'!GetCFData4PA.cfm?BU_0_AcctCode_0_105</vt:lpstr>
      <vt:lpstr>'Web Links'!GetCFData4PA.cfm?BU_0_AcctCode_0_106</vt:lpstr>
      <vt:lpstr>'Web Links'!GetCFData4PA.cfm?BU_0_AcctCode_0_107</vt:lpstr>
      <vt:lpstr>'Web Links'!GetCFData4PA.cfm?BU_0_AcctCode_0_108</vt:lpstr>
      <vt:lpstr>'Web Links'!GetCFData4PA.cfm?BU_0_AcctCode_0_109</vt:lpstr>
      <vt:lpstr>'Web Links'!GetCFData4PA.cfm?BU_0_AcctCode_0_11</vt:lpstr>
      <vt:lpstr>'Web Links'!GetCFData4PA.cfm?BU_0_AcctCode_0_110</vt:lpstr>
      <vt:lpstr>'Web Links'!GetCFData4PA.cfm?BU_0_AcctCode_0_111</vt:lpstr>
      <vt:lpstr>'Web Links'!GetCFData4PA.cfm?BU_0_AcctCode_0_112</vt:lpstr>
      <vt:lpstr>'Web Links'!GetCFData4PA.cfm?BU_0_AcctCode_0_113</vt:lpstr>
      <vt:lpstr>'Web Links'!GetCFData4PA.cfm?BU_0_AcctCode_0_114</vt:lpstr>
      <vt:lpstr>'Web Links'!GetCFData4PA.cfm?BU_0_AcctCode_0_115</vt:lpstr>
      <vt:lpstr>'Web Links'!GetCFData4PA.cfm?BU_0_AcctCode_0_116</vt:lpstr>
      <vt:lpstr>'Web Links'!GetCFData4PA.cfm?BU_0_AcctCode_0_117</vt:lpstr>
      <vt:lpstr>'Web Links'!GetCFData4PA.cfm?BU_0_AcctCode_0_118</vt:lpstr>
      <vt:lpstr>'Web Links'!GetCFData4PA.cfm?BU_0_AcctCode_0_119</vt:lpstr>
      <vt:lpstr>'Web Links'!GetCFData4PA.cfm?BU_0_AcctCode_0_12</vt:lpstr>
      <vt:lpstr>'Web Links'!GetCFData4PA.cfm?BU_0_AcctCode_0_120</vt:lpstr>
      <vt:lpstr>'Web Links'!GetCFData4PA.cfm?BU_0_AcctCode_0_121</vt:lpstr>
      <vt:lpstr>'Web Links'!GetCFData4PA.cfm?BU_0_AcctCode_0_122</vt:lpstr>
      <vt:lpstr>'Web Links'!GetCFData4PA.cfm?BU_0_AcctCode_0_123</vt:lpstr>
      <vt:lpstr>'Web Links'!GetCFData4PA.cfm?BU_0_AcctCode_0_124</vt:lpstr>
      <vt:lpstr>'Web Links'!GetCFData4PA.cfm?BU_0_AcctCode_0_125</vt:lpstr>
      <vt:lpstr>'Web Links'!GetCFData4PA.cfm?BU_0_AcctCode_0_126</vt:lpstr>
      <vt:lpstr>'Web Links'!GetCFData4PA.cfm?BU_0_AcctCode_0_127</vt:lpstr>
      <vt:lpstr>'Web Links'!GetCFData4PA.cfm?BU_0_AcctCode_0_128</vt:lpstr>
      <vt:lpstr>'Web Links'!GetCFData4PA.cfm?BU_0_AcctCode_0_129</vt:lpstr>
      <vt:lpstr>'Web Links'!GetCFData4PA.cfm?BU_0_AcctCode_0_13</vt:lpstr>
      <vt:lpstr>'Web Links'!GetCFData4PA.cfm?BU_0_AcctCode_0_130</vt:lpstr>
      <vt:lpstr>'Web Links'!GetCFData4PA.cfm?BU_0_AcctCode_0_131</vt:lpstr>
      <vt:lpstr>'Web Links'!GetCFData4PA.cfm?BU_0_AcctCode_0_132</vt:lpstr>
      <vt:lpstr>'Web Links'!GetCFData4PA.cfm?BU_0_AcctCode_0_133</vt:lpstr>
      <vt:lpstr>'Web Links'!GetCFData4PA.cfm?BU_0_AcctCode_0_134</vt:lpstr>
      <vt:lpstr>'Web Links'!GetCFData4PA.cfm?BU_0_AcctCode_0_135</vt:lpstr>
      <vt:lpstr>'Web Links'!GetCFData4PA.cfm?BU_0_AcctCode_0_136</vt:lpstr>
      <vt:lpstr>'Web Links'!GetCFData4PA.cfm?BU_0_AcctCode_0_137</vt:lpstr>
      <vt:lpstr>'Web Links'!GetCFData4PA.cfm?BU_0_AcctCode_0_138</vt:lpstr>
      <vt:lpstr>'Web Links'!GetCFData4PA.cfm?BU_0_AcctCode_0_139</vt:lpstr>
      <vt:lpstr>'Web Links'!GetCFData4PA.cfm?BU_0_AcctCode_0_14</vt:lpstr>
      <vt:lpstr>'Web Links'!GetCFData4PA.cfm?BU_0_AcctCode_0_140</vt:lpstr>
      <vt:lpstr>'Web Links'!GetCFData4PA.cfm?BU_0_AcctCode_0_141</vt:lpstr>
      <vt:lpstr>'Web Links'!GetCFData4PA.cfm?BU_0_AcctCode_0_142</vt:lpstr>
      <vt:lpstr>'Web Links'!GetCFData4PA.cfm?BU_0_AcctCode_0_143</vt:lpstr>
      <vt:lpstr>'Web Links'!GetCFData4PA.cfm?BU_0_AcctCode_0_144</vt:lpstr>
      <vt:lpstr>'Web Links'!GetCFData4PA.cfm?BU_0_AcctCode_0_145</vt:lpstr>
      <vt:lpstr>'Web Links'!GetCFData4PA.cfm?BU_0_AcctCode_0_146</vt:lpstr>
      <vt:lpstr>'Web Links'!GetCFData4PA.cfm?BU_0_AcctCode_0_147</vt:lpstr>
      <vt:lpstr>'Web Links'!GetCFData4PA.cfm?BU_0_AcctCode_0_148</vt:lpstr>
      <vt:lpstr>'Web Links'!GetCFData4PA.cfm?BU_0_AcctCode_0_149</vt:lpstr>
      <vt:lpstr>'Web Links'!GetCFData4PA.cfm?BU_0_AcctCode_0_15</vt:lpstr>
      <vt:lpstr>'Web Links'!GetCFData4PA.cfm?BU_0_AcctCode_0_150</vt:lpstr>
      <vt:lpstr>'Web Links'!GetCFData4PA.cfm?BU_0_AcctCode_0_151</vt:lpstr>
      <vt:lpstr>'Web Links'!GetCFData4PA.cfm?BU_0_AcctCode_0_152</vt:lpstr>
      <vt:lpstr>'Web Links'!GetCFData4PA.cfm?BU_0_AcctCode_0_153</vt:lpstr>
      <vt:lpstr>'Web Links'!GetCFData4PA.cfm?BU_0_AcctCode_0_154</vt:lpstr>
      <vt:lpstr>'Web Links'!GetCFData4PA.cfm?BU_0_AcctCode_0_155</vt:lpstr>
      <vt:lpstr>'Web Links'!GetCFData4PA.cfm?BU_0_AcctCode_0_156</vt:lpstr>
      <vt:lpstr>'Web Links'!GetCFData4PA.cfm?BU_0_AcctCode_0_157</vt:lpstr>
      <vt:lpstr>'Web Links'!GetCFData4PA.cfm?BU_0_AcctCode_0_158</vt:lpstr>
      <vt:lpstr>'Web Links'!GetCFData4PA.cfm?BU_0_AcctCode_0_159</vt:lpstr>
      <vt:lpstr>'Web Links'!GetCFData4PA.cfm?BU_0_AcctCode_0_16</vt:lpstr>
      <vt:lpstr>'Web Links'!GetCFData4PA.cfm?BU_0_AcctCode_0_160</vt:lpstr>
      <vt:lpstr>'Web Links'!GetCFData4PA.cfm?BU_0_AcctCode_0_161</vt:lpstr>
      <vt:lpstr>'Web Links'!GetCFData4PA.cfm?BU_0_AcctCode_0_162</vt:lpstr>
      <vt:lpstr>'Web Links'!GetCFData4PA.cfm?BU_0_AcctCode_0_163</vt:lpstr>
      <vt:lpstr>'Web Links'!GetCFData4PA.cfm?BU_0_AcctCode_0_164</vt:lpstr>
      <vt:lpstr>'Web Links'!GetCFData4PA.cfm?BU_0_AcctCode_0_165</vt:lpstr>
      <vt:lpstr>'Web Links'!GetCFData4PA.cfm?BU_0_AcctCode_0_166</vt:lpstr>
      <vt:lpstr>'Web Links'!GetCFData4PA.cfm?BU_0_AcctCode_0_167</vt:lpstr>
      <vt:lpstr>'Web Links'!GetCFData4PA.cfm?BU_0_AcctCode_0_168</vt:lpstr>
      <vt:lpstr>'Web Links'!GetCFData4PA.cfm?BU_0_AcctCode_0_169</vt:lpstr>
      <vt:lpstr>'Web Links'!GetCFData4PA.cfm?BU_0_AcctCode_0_17</vt:lpstr>
      <vt:lpstr>'Web Links'!GetCFData4PA.cfm?BU_0_AcctCode_0_170</vt:lpstr>
      <vt:lpstr>'Web Links'!GetCFData4PA.cfm?BU_0_AcctCode_0_171</vt:lpstr>
      <vt:lpstr>'Web Links'!GetCFData4PA.cfm?BU_0_AcctCode_0_172</vt:lpstr>
      <vt:lpstr>'Web Links'!GetCFData4PA.cfm?BU_0_AcctCode_0_173</vt:lpstr>
      <vt:lpstr>'Web Links'!GetCFData4PA.cfm?BU_0_AcctCode_0_174</vt:lpstr>
      <vt:lpstr>'Web Links'!GetCFData4PA.cfm?BU_0_AcctCode_0_175</vt:lpstr>
      <vt:lpstr>'Web Links'!GetCFData4PA.cfm?BU_0_AcctCode_0_176</vt:lpstr>
      <vt:lpstr>'Web Links'!GetCFData4PA.cfm?BU_0_AcctCode_0_177</vt:lpstr>
      <vt:lpstr>'Web Links'!GetCFData4PA.cfm?BU_0_AcctCode_0_178</vt:lpstr>
      <vt:lpstr>'Web Links'!GetCFData4PA.cfm?BU_0_AcctCode_0_179</vt:lpstr>
      <vt:lpstr>'Web Links'!GetCFData4PA.cfm?BU_0_AcctCode_0_18</vt:lpstr>
      <vt:lpstr>'Web Links'!GetCFData4PA.cfm?BU_0_AcctCode_0_180</vt:lpstr>
      <vt:lpstr>'Web Links'!GetCFData4PA.cfm?BU_0_AcctCode_0_181</vt:lpstr>
      <vt:lpstr>'Web Links'!GetCFData4PA.cfm?BU_0_AcctCode_0_182</vt:lpstr>
      <vt:lpstr>'Web Links'!GetCFData4PA.cfm?BU_0_AcctCode_0_183</vt:lpstr>
      <vt:lpstr>'Web Links'!GetCFData4PA.cfm?BU_0_AcctCode_0_184</vt:lpstr>
      <vt:lpstr>'Web Links'!GetCFData4PA.cfm?BU_0_AcctCode_0_185</vt:lpstr>
      <vt:lpstr>'Web Links'!GetCFData4PA.cfm?BU_0_AcctCode_0_186</vt:lpstr>
      <vt:lpstr>'Web Links'!GetCFData4PA.cfm?BU_0_AcctCode_0_187</vt:lpstr>
      <vt:lpstr>'Web Links'!GetCFData4PA.cfm?BU_0_AcctCode_0_188</vt:lpstr>
      <vt:lpstr>'Web Links'!GetCFData4PA.cfm?BU_0_AcctCode_0_189</vt:lpstr>
      <vt:lpstr>'Web Links'!GetCFData4PA.cfm?BU_0_AcctCode_0_19</vt:lpstr>
      <vt:lpstr>'Web Links'!GetCFData4PA.cfm?BU_0_AcctCode_0_190</vt:lpstr>
      <vt:lpstr>'Web Links'!GetCFData4PA.cfm?BU_0_AcctCode_0_191</vt:lpstr>
      <vt:lpstr>'Web Links'!GetCFData4PA.cfm?BU_0_AcctCode_0_192</vt:lpstr>
      <vt:lpstr>'Web Links'!GetCFData4PA.cfm?BU_0_AcctCode_0_193</vt:lpstr>
      <vt:lpstr>'Web Links'!GetCFData4PA.cfm?BU_0_AcctCode_0_194</vt:lpstr>
      <vt:lpstr>'Web Links'!GetCFData4PA.cfm?BU_0_AcctCode_0_195</vt:lpstr>
      <vt:lpstr>'Web Links'!GetCFData4PA.cfm?BU_0_AcctCode_0_196</vt:lpstr>
      <vt:lpstr>'Web Links'!GetCFData4PA.cfm?BU_0_AcctCode_0_197</vt:lpstr>
      <vt:lpstr>'Web Links'!GetCFData4PA.cfm?BU_0_AcctCode_0_198</vt:lpstr>
      <vt:lpstr>'Web Links'!GetCFData4PA.cfm?BU_0_AcctCode_0_199</vt:lpstr>
      <vt:lpstr>'Web Links'!GetCFData4PA.cfm?BU_0_AcctCode_0_2</vt:lpstr>
      <vt:lpstr>'Web Links'!GetCFData4PA.cfm?BU_0_AcctCode_0_20</vt:lpstr>
      <vt:lpstr>'Web Links'!GetCFData4PA.cfm?BU_0_AcctCode_0_200</vt:lpstr>
      <vt:lpstr>'Web Links'!GetCFData4PA.cfm?BU_0_AcctCode_0_201</vt:lpstr>
      <vt:lpstr>'Web Links'!GetCFData4PA.cfm?BU_0_AcctCode_0_202</vt:lpstr>
      <vt:lpstr>'Web Links'!GetCFData4PA.cfm?BU_0_AcctCode_0_203</vt:lpstr>
      <vt:lpstr>'Web Links'!GetCFData4PA.cfm?BU_0_AcctCode_0_204</vt:lpstr>
      <vt:lpstr>'Web Links'!GetCFData4PA.cfm?BU_0_AcctCode_0_205</vt:lpstr>
      <vt:lpstr>'Web Links'!GetCFData4PA.cfm?BU_0_AcctCode_0_206</vt:lpstr>
      <vt:lpstr>'Web Links'!GetCFData4PA.cfm?BU_0_AcctCode_0_207</vt:lpstr>
      <vt:lpstr>'Web Links'!GetCFData4PA.cfm?BU_0_AcctCode_0_208</vt:lpstr>
      <vt:lpstr>'Web Links'!GetCFData4PA.cfm?BU_0_AcctCode_0_209</vt:lpstr>
      <vt:lpstr>'Web Links'!GetCFData4PA.cfm?BU_0_AcctCode_0_21</vt:lpstr>
      <vt:lpstr>'Web Links'!GetCFData4PA.cfm?BU_0_AcctCode_0_210</vt:lpstr>
      <vt:lpstr>'Web Links'!GetCFData4PA.cfm?BU_0_AcctCode_0_211</vt:lpstr>
      <vt:lpstr>'Web Links'!GetCFData4PA.cfm?BU_0_AcctCode_0_212</vt:lpstr>
      <vt:lpstr>'Web Links'!GetCFData4PA.cfm?BU_0_AcctCode_0_213</vt:lpstr>
      <vt:lpstr>'Web Links'!GetCFData4PA.cfm?BU_0_AcctCode_0_214</vt:lpstr>
      <vt:lpstr>'Web Links'!GetCFData4PA.cfm?BU_0_AcctCode_0_215</vt:lpstr>
      <vt:lpstr>'Web Links'!GetCFData4PA.cfm?BU_0_AcctCode_0_216</vt:lpstr>
      <vt:lpstr>'Web Links'!GetCFData4PA.cfm?BU_0_AcctCode_0_217</vt:lpstr>
      <vt:lpstr>'Web Links'!GetCFData4PA.cfm?BU_0_AcctCode_0_218</vt:lpstr>
      <vt:lpstr>'Web Links'!GetCFData4PA.cfm?BU_0_AcctCode_0_219</vt:lpstr>
      <vt:lpstr>'Web Links'!GetCFData4PA.cfm?BU_0_AcctCode_0_22</vt:lpstr>
      <vt:lpstr>'Web Links'!GetCFData4PA.cfm?BU_0_AcctCode_0_220</vt:lpstr>
      <vt:lpstr>'Web Links'!GetCFData4PA.cfm?BU_0_AcctCode_0_221</vt:lpstr>
      <vt:lpstr>'Web Links'!GetCFData4PA.cfm?BU_0_AcctCode_0_222</vt:lpstr>
      <vt:lpstr>'Web Links'!GetCFData4PA.cfm?BU_0_AcctCode_0_223</vt:lpstr>
      <vt:lpstr>'Web Links'!GetCFData4PA.cfm?BU_0_AcctCode_0_224</vt:lpstr>
      <vt:lpstr>'Web Links'!GetCFData4PA.cfm?BU_0_AcctCode_0_225</vt:lpstr>
      <vt:lpstr>'Web Links'!GetCFData4PA.cfm?BU_0_AcctCode_0_226</vt:lpstr>
      <vt:lpstr>'Web Links'!GetCFData4PA.cfm?BU_0_AcctCode_0_227</vt:lpstr>
      <vt:lpstr>'Web Links'!GetCFData4PA.cfm?BU_0_AcctCode_0_228</vt:lpstr>
      <vt:lpstr>'Web Links'!GetCFData4PA.cfm?BU_0_AcctCode_0_229</vt:lpstr>
      <vt:lpstr>'Web Links'!GetCFData4PA.cfm?BU_0_AcctCode_0_23</vt:lpstr>
      <vt:lpstr>'Web Links'!GetCFData4PA.cfm?BU_0_AcctCode_0_230</vt:lpstr>
      <vt:lpstr>'Web Links'!GetCFData4PA.cfm?BU_0_AcctCode_0_231</vt:lpstr>
      <vt:lpstr>'Web Links'!GetCFData4PA.cfm?BU_0_AcctCode_0_232</vt:lpstr>
      <vt:lpstr>'Web Links'!GetCFData4PA.cfm?BU_0_AcctCode_0_233</vt:lpstr>
      <vt:lpstr>'Web Links'!GetCFData4PA.cfm?BU_0_AcctCode_0_234</vt:lpstr>
      <vt:lpstr>'Web Links'!GetCFData4PA.cfm?BU_0_AcctCode_0_235</vt:lpstr>
      <vt:lpstr>'Web Links'!GetCFData4PA.cfm?BU_0_AcctCode_0_236</vt:lpstr>
      <vt:lpstr>'Web Links'!GetCFData4PA.cfm?BU_0_AcctCode_0_237</vt:lpstr>
      <vt:lpstr>'Web Links'!GetCFData4PA.cfm?BU_0_AcctCode_0_238</vt:lpstr>
      <vt:lpstr>'Web Links'!GetCFData4PA.cfm?BU_0_AcctCode_0_239</vt:lpstr>
      <vt:lpstr>'Web Links'!GetCFData4PA.cfm?BU_0_AcctCode_0_24</vt:lpstr>
      <vt:lpstr>'Web Links'!GetCFData4PA.cfm?BU_0_AcctCode_0_240</vt:lpstr>
      <vt:lpstr>'Web Links'!GetCFData4PA.cfm?BU_0_AcctCode_0_241</vt:lpstr>
      <vt:lpstr>'Web Links'!GetCFData4PA.cfm?BU_0_AcctCode_0_242</vt:lpstr>
      <vt:lpstr>'Web Links'!GetCFData4PA.cfm?BU_0_AcctCode_0_243</vt:lpstr>
      <vt:lpstr>'Web Links'!GetCFData4PA.cfm?BU_0_AcctCode_0_244</vt:lpstr>
      <vt:lpstr>'Web Links'!GetCFData4PA.cfm?BU_0_AcctCode_0_245</vt:lpstr>
      <vt:lpstr>'Web Links'!GetCFData4PA.cfm?BU_0_AcctCode_0_246</vt:lpstr>
      <vt:lpstr>'Web Links'!GetCFData4PA.cfm?BU_0_AcctCode_0_247</vt:lpstr>
      <vt:lpstr>'Web Links'!GetCFData4PA.cfm?BU_0_AcctCode_0_248</vt:lpstr>
      <vt:lpstr>'Web Links'!GetCFData4PA.cfm?BU_0_AcctCode_0_249</vt:lpstr>
      <vt:lpstr>'Web Links'!GetCFData4PA.cfm?BU_0_AcctCode_0_25</vt:lpstr>
      <vt:lpstr>'Web Links'!GetCFData4PA.cfm?BU_0_AcctCode_0_250</vt:lpstr>
      <vt:lpstr>'Web Links'!GetCFData4PA.cfm?BU_0_AcctCode_0_251</vt:lpstr>
      <vt:lpstr>'Web Links'!GetCFData4PA.cfm?BU_0_AcctCode_0_252</vt:lpstr>
      <vt:lpstr>'Web Links'!GetCFData4PA.cfm?BU_0_AcctCode_0_253</vt:lpstr>
      <vt:lpstr>'Web Links'!GetCFData4PA.cfm?BU_0_AcctCode_0_254</vt:lpstr>
      <vt:lpstr>'Web Links'!GetCFData4PA.cfm?BU_0_AcctCode_0_255</vt:lpstr>
      <vt:lpstr>'Web Links'!GetCFData4PA.cfm?BU_0_AcctCode_0_256</vt:lpstr>
      <vt:lpstr>'Web Links'!GetCFData4PA.cfm?BU_0_AcctCode_0_257</vt:lpstr>
      <vt:lpstr>'Web Links'!GetCFData4PA.cfm?BU_0_AcctCode_0_258</vt:lpstr>
      <vt:lpstr>'Web Links'!GetCFData4PA.cfm?BU_0_AcctCode_0_259</vt:lpstr>
      <vt:lpstr>'Web Links'!GetCFData4PA.cfm?BU_0_AcctCode_0_26</vt:lpstr>
      <vt:lpstr>'Web Links'!GetCFData4PA.cfm?BU_0_AcctCode_0_260</vt:lpstr>
      <vt:lpstr>'Web Links'!GetCFData4PA.cfm?BU_0_AcctCode_0_261</vt:lpstr>
      <vt:lpstr>'Web Links'!GetCFData4PA.cfm?BU_0_AcctCode_0_262</vt:lpstr>
      <vt:lpstr>'Web Links'!GetCFData4PA.cfm?BU_0_AcctCode_0_263</vt:lpstr>
      <vt:lpstr>'Web Links'!GetCFData4PA.cfm?BU_0_AcctCode_0_264</vt:lpstr>
      <vt:lpstr>'Web Links'!GetCFData4PA.cfm?BU_0_AcctCode_0_265</vt:lpstr>
      <vt:lpstr>'Web Links'!GetCFData4PA.cfm?BU_0_AcctCode_0_266</vt:lpstr>
      <vt:lpstr>'Web Links'!GetCFData4PA.cfm?BU_0_AcctCode_0_267</vt:lpstr>
      <vt:lpstr>'Web Links'!GetCFData4PA.cfm?BU_0_AcctCode_0_268</vt:lpstr>
      <vt:lpstr>'Web Links'!GetCFData4PA.cfm?BU_0_AcctCode_0_269</vt:lpstr>
      <vt:lpstr>'Web Links'!GetCFData4PA.cfm?BU_0_AcctCode_0_27</vt:lpstr>
      <vt:lpstr>'Web Links'!GetCFData4PA.cfm?BU_0_AcctCode_0_270</vt:lpstr>
      <vt:lpstr>'Web Links'!GetCFData4PA.cfm?BU_0_AcctCode_0_271</vt:lpstr>
      <vt:lpstr>'Web Links'!GetCFData4PA.cfm?BU_0_AcctCode_0_272</vt:lpstr>
      <vt:lpstr>'Web Links'!GetCFData4PA.cfm?BU_0_AcctCode_0_273</vt:lpstr>
      <vt:lpstr>'Web Links'!GetCFData4PA.cfm?BU_0_AcctCode_0_274</vt:lpstr>
      <vt:lpstr>'Web Links'!GetCFData4PA.cfm?BU_0_AcctCode_0_275</vt:lpstr>
      <vt:lpstr>'Web Links'!GetCFData4PA.cfm?BU_0_AcctCode_0_276</vt:lpstr>
      <vt:lpstr>'Web Links'!GetCFData4PA.cfm?BU_0_AcctCode_0_277</vt:lpstr>
      <vt:lpstr>'Web Links'!GetCFData4PA.cfm?BU_0_AcctCode_0_278</vt:lpstr>
      <vt:lpstr>'Web Links'!GetCFData4PA.cfm?BU_0_AcctCode_0_279</vt:lpstr>
      <vt:lpstr>'Web Links'!GetCFData4PA.cfm?BU_0_AcctCode_0_28</vt:lpstr>
      <vt:lpstr>'Web Links'!GetCFData4PA.cfm?BU_0_AcctCode_0_280</vt:lpstr>
      <vt:lpstr>'Web Links'!GetCFData4PA.cfm?BU_0_AcctCode_0_281</vt:lpstr>
      <vt:lpstr>'Web Links'!GetCFData4PA.cfm?BU_0_AcctCode_0_282</vt:lpstr>
      <vt:lpstr>'Web Links'!GetCFData4PA.cfm?BU_0_AcctCode_0_283</vt:lpstr>
      <vt:lpstr>'Web Links'!GetCFData4PA.cfm?BU_0_AcctCode_0_284</vt:lpstr>
      <vt:lpstr>'Web Links'!GetCFData4PA.cfm?BU_0_AcctCode_0_285</vt:lpstr>
      <vt:lpstr>'Web Links'!GetCFData4PA.cfm?BU_0_AcctCode_0_286</vt:lpstr>
      <vt:lpstr>'Web Links'!GetCFData4PA.cfm?BU_0_AcctCode_0_287</vt:lpstr>
      <vt:lpstr>'Web Links'!GetCFData4PA.cfm?BU_0_AcctCode_0_288</vt:lpstr>
      <vt:lpstr>'Web Links'!GetCFData4PA.cfm?BU_0_AcctCode_0_289</vt:lpstr>
      <vt:lpstr>'Web Links'!GetCFData4PA.cfm?BU_0_AcctCode_0_29</vt:lpstr>
      <vt:lpstr>'Web Links'!GetCFData4PA.cfm?BU_0_AcctCode_0_290</vt:lpstr>
      <vt:lpstr>'Web Links'!GetCFData4PA.cfm?BU_0_AcctCode_0_291</vt:lpstr>
      <vt:lpstr>'Web Links'!GetCFData4PA.cfm?BU_0_AcctCode_0_292</vt:lpstr>
      <vt:lpstr>'Web Links'!GetCFData4PA.cfm?BU_0_AcctCode_0_293</vt:lpstr>
      <vt:lpstr>'Web Links'!GetCFData4PA.cfm?BU_0_AcctCode_0_294</vt:lpstr>
      <vt:lpstr>'Web Links'!GetCFData4PA.cfm?BU_0_AcctCode_0_295</vt:lpstr>
      <vt:lpstr>'Web Links'!GetCFData4PA.cfm?BU_0_AcctCode_0_296</vt:lpstr>
      <vt:lpstr>'Web Links'!GetCFData4PA.cfm?BU_0_AcctCode_0_297</vt:lpstr>
      <vt:lpstr>'Web Links'!GetCFData4PA.cfm?BU_0_AcctCode_0_298</vt:lpstr>
      <vt:lpstr>'Web Links'!GetCFData4PA.cfm?BU_0_AcctCode_0_299</vt:lpstr>
      <vt:lpstr>'Web Links'!GetCFData4PA.cfm?BU_0_AcctCode_0_3</vt:lpstr>
      <vt:lpstr>'Web Links'!GetCFData4PA.cfm?BU_0_AcctCode_0_30</vt:lpstr>
      <vt:lpstr>'Web Links'!GetCFData4PA.cfm?BU_0_AcctCode_0_300</vt:lpstr>
      <vt:lpstr>'Web Links'!GetCFData4PA.cfm?BU_0_AcctCode_0_301</vt:lpstr>
      <vt:lpstr>'Web Links'!GetCFData4PA.cfm?BU_0_AcctCode_0_302</vt:lpstr>
      <vt:lpstr>'Web Links'!GetCFData4PA.cfm?BU_0_AcctCode_0_303</vt:lpstr>
      <vt:lpstr>'Web Links'!GetCFData4PA.cfm?BU_0_AcctCode_0_304</vt:lpstr>
      <vt:lpstr>'Web Links'!GetCFData4PA.cfm?BU_0_AcctCode_0_305</vt:lpstr>
      <vt:lpstr>'Web Links'!GetCFData4PA.cfm?BU_0_AcctCode_0_306</vt:lpstr>
      <vt:lpstr>'Web Links'!GetCFData4PA.cfm?BU_0_AcctCode_0_307</vt:lpstr>
      <vt:lpstr>'Web Links'!GetCFData4PA.cfm?BU_0_AcctCode_0_308</vt:lpstr>
      <vt:lpstr>'Web Links'!GetCFData4PA.cfm?BU_0_AcctCode_0_309</vt:lpstr>
      <vt:lpstr>'Web Links'!GetCFData4PA.cfm?BU_0_AcctCode_0_31</vt:lpstr>
      <vt:lpstr>'Web Links'!GetCFData4PA.cfm?BU_0_AcctCode_0_310</vt:lpstr>
      <vt:lpstr>'Web Links'!GetCFData4PA.cfm?BU_0_AcctCode_0_311</vt:lpstr>
      <vt:lpstr>'Web Links'!GetCFData4PA.cfm?BU_0_AcctCode_0_312</vt:lpstr>
      <vt:lpstr>'Web Links'!GetCFData4PA.cfm?BU_0_AcctCode_0_313</vt:lpstr>
      <vt:lpstr>'Web Links'!GetCFData4PA.cfm?BU_0_AcctCode_0_314</vt:lpstr>
      <vt:lpstr>'Web Links'!GetCFData4PA.cfm?BU_0_AcctCode_0_315</vt:lpstr>
      <vt:lpstr>'Web Links'!GetCFData4PA.cfm?BU_0_AcctCode_0_316</vt:lpstr>
      <vt:lpstr>'Web Links'!GetCFData4PA.cfm?BU_0_AcctCode_0_317</vt:lpstr>
      <vt:lpstr>'Web Links'!GetCFData4PA.cfm?BU_0_AcctCode_0_318</vt:lpstr>
      <vt:lpstr>'Web Links'!GetCFData4PA.cfm?BU_0_AcctCode_0_319</vt:lpstr>
      <vt:lpstr>'Web Links'!GetCFData4PA.cfm?BU_0_AcctCode_0_32</vt:lpstr>
      <vt:lpstr>'Web Links'!GetCFData4PA.cfm?BU_0_AcctCode_0_320</vt:lpstr>
      <vt:lpstr>'Web Links'!GetCFData4PA.cfm?BU_0_AcctCode_0_321</vt:lpstr>
      <vt:lpstr>'Web Links'!GetCFData4PA.cfm?BU_0_AcctCode_0_322</vt:lpstr>
      <vt:lpstr>'Web Links'!GetCFData4PA.cfm?BU_0_AcctCode_0_323</vt:lpstr>
      <vt:lpstr>'Web Links'!GetCFData4PA.cfm?BU_0_AcctCode_0_324</vt:lpstr>
      <vt:lpstr>'Web Links'!GetCFData4PA.cfm?BU_0_AcctCode_0_325</vt:lpstr>
      <vt:lpstr>'Web Links'!GetCFData4PA.cfm?BU_0_AcctCode_0_326</vt:lpstr>
      <vt:lpstr>'Web Links'!GetCFData4PA.cfm?BU_0_AcctCode_0_327</vt:lpstr>
      <vt:lpstr>'Web Links'!GetCFData4PA.cfm?BU_0_AcctCode_0_328</vt:lpstr>
      <vt:lpstr>'Web Links'!GetCFData4PA.cfm?BU_0_AcctCode_0_329</vt:lpstr>
      <vt:lpstr>'Web Links'!GetCFData4PA.cfm?BU_0_AcctCode_0_33</vt:lpstr>
      <vt:lpstr>'Web Links'!GetCFData4PA.cfm?BU_0_AcctCode_0_330</vt:lpstr>
      <vt:lpstr>'Web Links'!GetCFData4PA.cfm?BU_0_AcctCode_0_331</vt:lpstr>
      <vt:lpstr>'Web Links'!GetCFData4PA.cfm?BU_0_AcctCode_0_332</vt:lpstr>
      <vt:lpstr>'Web Links'!GetCFData4PA.cfm?BU_0_AcctCode_0_333</vt:lpstr>
      <vt:lpstr>'Web Links'!GetCFData4PA.cfm?BU_0_AcctCode_0_334</vt:lpstr>
      <vt:lpstr>'Web Links'!GetCFData4PA.cfm?BU_0_AcctCode_0_335</vt:lpstr>
      <vt:lpstr>'Web Links'!GetCFData4PA.cfm?BU_0_AcctCode_0_336</vt:lpstr>
      <vt:lpstr>'Web Links'!GetCFData4PA.cfm?BU_0_AcctCode_0_337</vt:lpstr>
      <vt:lpstr>'Web Links'!GetCFData4PA.cfm?BU_0_AcctCode_0_338</vt:lpstr>
      <vt:lpstr>'Web Links'!GetCFData4PA.cfm?BU_0_AcctCode_0_339</vt:lpstr>
      <vt:lpstr>'Web Links'!GetCFData4PA.cfm?BU_0_AcctCode_0_34</vt:lpstr>
      <vt:lpstr>'Web Links'!GetCFData4PA.cfm?BU_0_AcctCode_0_340</vt:lpstr>
      <vt:lpstr>'Web Links'!GetCFData4PA.cfm?BU_0_AcctCode_0_341</vt:lpstr>
      <vt:lpstr>'Web Links'!GetCFData4PA.cfm?BU_0_AcctCode_0_342</vt:lpstr>
      <vt:lpstr>'Web Links'!GetCFData4PA.cfm?BU_0_AcctCode_0_343</vt:lpstr>
      <vt:lpstr>'Web Links'!GetCFData4PA.cfm?BU_0_AcctCode_0_344</vt:lpstr>
      <vt:lpstr>'Web Links'!GetCFData4PA.cfm?BU_0_AcctCode_0_345</vt:lpstr>
      <vt:lpstr>'Web Links'!GetCFData4PA.cfm?BU_0_AcctCode_0_346</vt:lpstr>
      <vt:lpstr>'Web Links'!GetCFData4PA.cfm?BU_0_AcctCode_0_347</vt:lpstr>
      <vt:lpstr>'Web Links'!GetCFData4PA.cfm?BU_0_AcctCode_0_348</vt:lpstr>
      <vt:lpstr>'Web Links'!GetCFData4PA.cfm?BU_0_AcctCode_0_349</vt:lpstr>
      <vt:lpstr>'Web Links'!GetCFData4PA.cfm?BU_0_AcctCode_0_35</vt:lpstr>
      <vt:lpstr>'Web Links'!GetCFData4PA.cfm?BU_0_AcctCode_0_350</vt:lpstr>
      <vt:lpstr>'Web Links'!GetCFData4PA.cfm?BU_0_AcctCode_0_351</vt:lpstr>
      <vt:lpstr>'Web Links'!GetCFData4PA.cfm?BU_0_AcctCode_0_352</vt:lpstr>
      <vt:lpstr>'Web Links'!GetCFData4PA.cfm?BU_0_AcctCode_0_353</vt:lpstr>
      <vt:lpstr>'Web Links'!GetCFData4PA.cfm?BU_0_AcctCode_0_354</vt:lpstr>
      <vt:lpstr>'Web Links'!GetCFData4PA.cfm?BU_0_AcctCode_0_355</vt:lpstr>
      <vt:lpstr>'Web Links'!GetCFData4PA.cfm?BU_0_AcctCode_0_356</vt:lpstr>
      <vt:lpstr>'Web Links'!GetCFData4PA.cfm?BU_0_AcctCode_0_357</vt:lpstr>
      <vt:lpstr>'Web Links'!GetCFData4PA.cfm?BU_0_AcctCode_0_358</vt:lpstr>
      <vt:lpstr>'Web Links'!GetCFData4PA.cfm?BU_0_AcctCode_0_359</vt:lpstr>
      <vt:lpstr>'Web Links'!GetCFData4PA.cfm?BU_0_AcctCode_0_36</vt:lpstr>
      <vt:lpstr>'Web Links'!GetCFData4PA.cfm?BU_0_AcctCode_0_360</vt:lpstr>
      <vt:lpstr>'Web Links'!GetCFData4PA.cfm?BU_0_AcctCode_0_361</vt:lpstr>
      <vt:lpstr>'Web Links'!GetCFData4PA.cfm?BU_0_AcctCode_0_362</vt:lpstr>
      <vt:lpstr>'Web Links'!GetCFData4PA.cfm?BU_0_AcctCode_0_363</vt:lpstr>
      <vt:lpstr>'Web Links'!GetCFData4PA.cfm?BU_0_AcctCode_0_364</vt:lpstr>
      <vt:lpstr>'Web Links'!GetCFData4PA.cfm?BU_0_AcctCode_0_365</vt:lpstr>
      <vt:lpstr>'Web Links'!GetCFData4PA.cfm?BU_0_AcctCode_0_366</vt:lpstr>
      <vt:lpstr>'Web Links'!GetCFData4PA.cfm?BU_0_AcctCode_0_367</vt:lpstr>
      <vt:lpstr>'Web Links'!GetCFData4PA.cfm?BU_0_AcctCode_0_368</vt:lpstr>
      <vt:lpstr>'Web Links'!GetCFData4PA.cfm?BU_0_AcctCode_0_369</vt:lpstr>
      <vt:lpstr>'Web Links'!GetCFData4PA.cfm?BU_0_AcctCode_0_37</vt:lpstr>
      <vt:lpstr>'Web Links'!GetCFData4PA.cfm?BU_0_AcctCode_0_370</vt:lpstr>
      <vt:lpstr>'Web Links'!GetCFData4PA.cfm?BU_0_AcctCode_0_371</vt:lpstr>
      <vt:lpstr>'Web Links'!GetCFData4PA.cfm?BU_0_AcctCode_0_372</vt:lpstr>
      <vt:lpstr>'Web Links'!GetCFData4PA.cfm?BU_0_AcctCode_0_373</vt:lpstr>
      <vt:lpstr>'Web Links'!GetCFData4PA.cfm?BU_0_AcctCode_0_374</vt:lpstr>
      <vt:lpstr>'Web Links'!GetCFData4PA.cfm?BU_0_AcctCode_0_375</vt:lpstr>
      <vt:lpstr>'Web Links'!GetCFData4PA.cfm?BU_0_AcctCode_0_376</vt:lpstr>
      <vt:lpstr>'Web Links'!GetCFData4PA.cfm?BU_0_AcctCode_0_377</vt:lpstr>
      <vt:lpstr>'Web Links'!GetCFData4PA.cfm?BU_0_AcctCode_0_378</vt:lpstr>
      <vt:lpstr>'Web Links'!GetCFData4PA.cfm?BU_0_AcctCode_0_379</vt:lpstr>
      <vt:lpstr>'Web Links'!GetCFData4PA.cfm?BU_0_AcctCode_0_38</vt:lpstr>
      <vt:lpstr>'Web Links'!GetCFData4PA.cfm?BU_0_AcctCode_0_380</vt:lpstr>
      <vt:lpstr>'Web Links'!GetCFData4PA.cfm?BU_0_AcctCode_0_381</vt:lpstr>
      <vt:lpstr>'Web Links'!GetCFData4PA.cfm?BU_0_AcctCode_0_382</vt:lpstr>
      <vt:lpstr>'Web Links'!GetCFData4PA.cfm?BU_0_AcctCode_0_383</vt:lpstr>
      <vt:lpstr>'Web Links'!GetCFData4PA.cfm?BU_0_AcctCode_0_384</vt:lpstr>
      <vt:lpstr>'Web Links'!GetCFData4PA.cfm?BU_0_AcctCode_0_385</vt:lpstr>
      <vt:lpstr>'Web Links'!GetCFData4PA.cfm?BU_0_AcctCode_0_386</vt:lpstr>
      <vt:lpstr>'Web Links'!GetCFData4PA.cfm?BU_0_AcctCode_0_387</vt:lpstr>
      <vt:lpstr>'Web Links'!GetCFData4PA.cfm?BU_0_AcctCode_0_388</vt:lpstr>
      <vt:lpstr>'Web Links'!GetCFData4PA.cfm?BU_0_AcctCode_0_389</vt:lpstr>
      <vt:lpstr>'Web Links'!GetCFData4PA.cfm?BU_0_AcctCode_0_39</vt:lpstr>
      <vt:lpstr>'Web Links'!GetCFData4PA.cfm?BU_0_AcctCode_0_390</vt:lpstr>
      <vt:lpstr>'Web Links'!GetCFData4PA.cfm?BU_0_AcctCode_0_391</vt:lpstr>
      <vt:lpstr>'Web Links'!GetCFData4PA.cfm?BU_0_AcctCode_0_392</vt:lpstr>
      <vt:lpstr>'Web Links'!GetCFData4PA.cfm?BU_0_AcctCode_0_393</vt:lpstr>
      <vt:lpstr>'Web Links'!GetCFData4PA.cfm?BU_0_AcctCode_0_394</vt:lpstr>
      <vt:lpstr>'Web Links'!GetCFData4PA.cfm?BU_0_AcctCode_0_395</vt:lpstr>
      <vt:lpstr>'Web Links'!GetCFData4PA.cfm?BU_0_AcctCode_0_396</vt:lpstr>
      <vt:lpstr>'Web Links'!GetCFData4PA.cfm?BU_0_AcctCode_0_397</vt:lpstr>
      <vt:lpstr>'Web Links'!GetCFData4PA.cfm?BU_0_AcctCode_0_398</vt:lpstr>
      <vt:lpstr>'Web Links'!GetCFData4PA.cfm?BU_0_AcctCode_0_399</vt:lpstr>
      <vt:lpstr>'Web Links'!GetCFData4PA.cfm?BU_0_AcctCode_0_4</vt:lpstr>
      <vt:lpstr>'Web Links'!GetCFData4PA.cfm?BU_0_AcctCode_0_40</vt:lpstr>
      <vt:lpstr>'Web Links'!GetCFData4PA.cfm?BU_0_AcctCode_0_400</vt:lpstr>
      <vt:lpstr>'Web Links'!GetCFData4PA.cfm?BU_0_AcctCode_0_401</vt:lpstr>
      <vt:lpstr>'Web Links'!GetCFData4PA.cfm?BU_0_AcctCode_0_402</vt:lpstr>
      <vt:lpstr>'Web Links'!GetCFData4PA.cfm?BU_0_AcctCode_0_403</vt:lpstr>
      <vt:lpstr>'Web Links'!GetCFData4PA.cfm?BU_0_AcctCode_0_404</vt:lpstr>
      <vt:lpstr>'Web Links'!GetCFData4PA.cfm?BU_0_AcctCode_0_405</vt:lpstr>
      <vt:lpstr>'Web Links'!GetCFData4PA.cfm?BU_0_AcctCode_0_406</vt:lpstr>
      <vt:lpstr>'Web Links'!GetCFData4PA.cfm?BU_0_AcctCode_0_407</vt:lpstr>
      <vt:lpstr>'Web Links'!GetCFData4PA.cfm?BU_0_AcctCode_0_408</vt:lpstr>
      <vt:lpstr>'Web Links'!GetCFData4PA.cfm?BU_0_AcctCode_0_409</vt:lpstr>
      <vt:lpstr>'Web Links'!GetCFData4PA.cfm?BU_0_AcctCode_0_41</vt:lpstr>
      <vt:lpstr>'Web Links'!GetCFData4PA.cfm?BU_0_AcctCode_0_410</vt:lpstr>
      <vt:lpstr>'Web Links'!GetCFData4PA.cfm?BU_0_AcctCode_0_411</vt:lpstr>
      <vt:lpstr>'Web Links'!GetCFData4PA.cfm?BU_0_AcctCode_0_412</vt:lpstr>
      <vt:lpstr>'Web Links'!GetCFData4PA.cfm?BU_0_AcctCode_0_413</vt:lpstr>
      <vt:lpstr>'Web Links'!GetCFData4PA.cfm?BU_0_AcctCode_0_414</vt:lpstr>
      <vt:lpstr>'Web Links'!GetCFData4PA.cfm?BU_0_AcctCode_0_415</vt:lpstr>
      <vt:lpstr>'Web Links'!GetCFData4PA.cfm?BU_0_AcctCode_0_416</vt:lpstr>
      <vt:lpstr>'Web Links'!GetCFData4PA.cfm?BU_0_AcctCode_0_417</vt:lpstr>
      <vt:lpstr>'Web Links'!GetCFData4PA.cfm?BU_0_AcctCode_0_418</vt:lpstr>
      <vt:lpstr>'Web Links'!GetCFData4PA.cfm?BU_0_AcctCode_0_419</vt:lpstr>
      <vt:lpstr>'Web Links'!GetCFData4PA.cfm?BU_0_AcctCode_0_42</vt:lpstr>
      <vt:lpstr>'Web Links'!GetCFData4PA.cfm?BU_0_AcctCode_0_420</vt:lpstr>
      <vt:lpstr>'Web Links'!GetCFData4PA.cfm?BU_0_AcctCode_0_421</vt:lpstr>
      <vt:lpstr>'Web Links'!GetCFData4PA.cfm?BU_0_AcctCode_0_422</vt:lpstr>
      <vt:lpstr>'Web Links'!GetCFData4PA.cfm?BU_0_AcctCode_0_423</vt:lpstr>
      <vt:lpstr>'Web Links'!GetCFData4PA.cfm?BU_0_AcctCode_0_424</vt:lpstr>
      <vt:lpstr>'Web Links'!GetCFData4PA.cfm?BU_0_AcctCode_0_425</vt:lpstr>
      <vt:lpstr>'Web Links'!GetCFData4PA.cfm?BU_0_AcctCode_0_426</vt:lpstr>
      <vt:lpstr>'Web Links'!GetCFData4PA.cfm?BU_0_AcctCode_0_427</vt:lpstr>
      <vt:lpstr>'Web Links'!GetCFData4PA.cfm?BU_0_AcctCode_0_428</vt:lpstr>
      <vt:lpstr>'Web Links'!GetCFData4PA.cfm?BU_0_AcctCode_0_429</vt:lpstr>
      <vt:lpstr>'Web Links'!GetCFData4PA.cfm?BU_0_AcctCode_0_43</vt:lpstr>
      <vt:lpstr>'Web Links'!GetCFData4PA.cfm?BU_0_AcctCode_0_430</vt:lpstr>
      <vt:lpstr>'Web Links'!GetCFData4PA.cfm?BU_0_AcctCode_0_431</vt:lpstr>
      <vt:lpstr>'Web Links'!GetCFData4PA.cfm?BU_0_AcctCode_0_432</vt:lpstr>
      <vt:lpstr>'Web Links'!GetCFData4PA.cfm?BU_0_AcctCode_0_433</vt:lpstr>
      <vt:lpstr>'Web Links'!GetCFData4PA.cfm?BU_0_AcctCode_0_434</vt:lpstr>
      <vt:lpstr>'Web Links'!GetCFData4PA.cfm?BU_0_AcctCode_0_435</vt:lpstr>
      <vt:lpstr>'Web Links'!GetCFData4PA.cfm?BU_0_AcctCode_0_436</vt:lpstr>
      <vt:lpstr>'Web Links'!GetCFData4PA.cfm?BU_0_AcctCode_0_437</vt:lpstr>
      <vt:lpstr>'Web Links'!GetCFData4PA.cfm?BU_0_AcctCode_0_438</vt:lpstr>
      <vt:lpstr>'Web Links'!GetCFData4PA.cfm?BU_0_AcctCode_0_439</vt:lpstr>
      <vt:lpstr>'Web Links'!GetCFData4PA.cfm?BU_0_AcctCode_0_44</vt:lpstr>
      <vt:lpstr>'Web Links'!GetCFData4PA.cfm?BU_0_AcctCode_0_440</vt:lpstr>
      <vt:lpstr>'Web Links'!GetCFData4PA.cfm?BU_0_AcctCode_0_441</vt:lpstr>
      <vt:lpstr>'Web Links'!GetCFData4PA.cfm?BU_0_AcctCode_0_442</vt:lpstr>
      <vt:lpstr>'Web Links'!GetCFData4PA.cfm?BU_0_AcctCode_0_443</vt:lpstr>
      <vt:lpstr>'Web Links'!GetCFData4PA.cfm?BU_0_AcctCode_0_444</vt:lpstr>
      <vt:lpstr>'Web Links'!GetCFData4PA.cfm?BU_0_AcctCode_0_445</vt:lpstr>
      <vt:lpstr>'Web Links'!GetCFData4PA.cfm?BU_0_AcctCode_0_446</vt:lpstr>
      <vt:lpstr>'Web Links'!GetCFData4PA.cfm?BU_0_AcctCode_0_447</vt:lpstr>
      <vt:lpstr>'Web Links'!GetCFData4PA.cfm?BU_0_AcctCode_0_448</vt:lpstr>
      <vt:lpstr>'Web Links'!GetCFData4PA.cfm?BU_0_AcctCode_0_449</vt:lpstr>
      <vt:lpstr>'Web Links'!GetCFData4PA.cfm?BU_0_AcctCode_0_45</vt:lpstr>
      <vt:lpstr>'Web Links'!GetCFData4PA.cfm?BU_0_AcctCode_0_450</vt:lpstr>
      <vt:lpstr>'Web Links'!GetCFData4PA.cfm?BU_0_AcctCode_0_451</vt:lpstr>
      <vt:lpstr>'Web Links'!GetCFData4PA.cfm?BU_0_AcctCode_0_452</vt:lpstr>
      <vt:lpstr>'Web Links'!GetCFData4PA.cfm?BU_0_AcctCode_0_453</vt:lpstr>
      <vt:lpstr>'Web Links'!GetCFData4PA.cfm?BU_0_AcctCode_0_454</vt:lpstr>
      <vt:lpstr>'Web Links'!GetCFData4PA.cfm?BU_0_AcctCode_0_455</vt:lpstr>
      <vt:lpstr>'Web Links'!GetCFData4PA.cfm?BU_0_AcctCode_0_456</vt:lpstr>
      <vt:lpstr>'Web Links'!GetCFData4PA.cfm?BU_0_AcctCode_0_457</vt:lpstr>
      <vt:lpstr>'Web Links'!GetCFData4PA.cfm?BU_0_AcctCode_0_458</vt:lpstr>
      <vt:lpstr>'Web Links'!GetCFData4PA.cfm?BU_0_AcctCode_0_459</vt:lpstr>
      <vt:lpstr>'Web Links'!GetCFData4PA.cfm?BU_0_AcctCode_0_46</vt:lpstr>
      <vt:lpstr>'Web Links'!GetCFData4PA.cfm?BU_0_AcctCode_0_460</vt:lpstr>
      <vt:lpstr>'Web Links'!GetCFData4PA.cfm?BU_0_AcctCode_0_461</vt:lpstr>
      <vt:lpstr>'Web Links'!GetCFData4PA.cfm?BU_0_AcctCode_0_462</vt:lpstr>
      <vt:lpstr>'Web Links'!GetCFData4PA.cfm?BU_0_AcctCode_0_463</vt:lpstr>
      <vt:lpstr>'Web Links'!GetCFData4PA.cfm?BU_0_AcctCode_0_464</vt:lpstr>
      <vt:lpstr>'Web Links'!GetCFData4PA.cfm?BU_0_AcctCode_0_465</vt:lpstr>
      <vt:lpstr>'Web Links'!GetCFData4PA.cfm?BU_0_AcctCode_0_466</vt:lpstr>
      <vt:lpstr>'Web Links'!GetCFData4PA.cfm?BU_0_AcctCode_0_467</vt:lpstr>
      <vt:lpstr>'Web Links'!GetCFData4PA.cfm?BU_0_AcctCode_0_468</vt:lpstr>
      <vt:lpstr>'Web Links'!GetCFData4PA.cfm?BU_0_AcctCode_0_469</vt:lpstr>
      <vt:lpstr>'Web Links'!GetCFData4PA.cfm?BU_0_AcctCode_0_47</vt:lpstr>
      <vt:lpstr>'Web Links'!GetCFData4PA.cfm?BU_0_AcctCode_0_470</vt:lpstr>
      <vt:lpstr>'Web Links'!GetCFData4PA.cfm?BU_0_AcctCode_0_471</vt:lpstr>
      <vt:lpstr>'Web Links'!GetCFData4PA.cfm?BU_0_AcctCode_0_472</vt:lpstr>
      <vt:lpstr>'Web Links'!GetCFData4PA.cfm?BU_0_AcctCode_0_473</vt:lpstr>
      <vt:lpstr>'Web Links'!GetCFData4PA.cfm?BU_0_AcctCode_0_474</vt:lpstr>
      <vt:lpstr>'Web Links'!GetCFData4PA.cfm?BU_0_AcctCode_0_475</vt:lpstr>
      <vt:lpstr>'Web Links'!GetCFData4PA.cfm?BU_0_AcctCode_0_476</vt:lpstr>
      <vt:lpstr>'Web Links'!GetCFData4PA.cfm?BU_0_AcctCode_0_477</vt:lpstr>
      <vt:lpstr>'Web Links'!GetCFData4PA.cfm?BU_0_AcctCode_0_478</vt:lpstr>
      <vt:lpstr>'Web Links'!GetCFData4PA.cfm?BU_0_AcctCode_0_479</vt:lpstr>
      <vt:lpstr>'Web Links'!GetCFData4PA.cfm?BU_0_AcctCode_0_48</vt:lpstr>
      <vt:lpstr>'Web Links'!GetCFData4PA.cfm?BU_0_AcctCode_0_480</vt:lpstr>
      <vt:lpstr>'Web Links'!GetCFData4PA.cfm?BU_0_AcctCode_0_481</vt:lpstr>
      <vt:lpstr>'Web Links'!GetCFData4PA.cfm?BU_0_AcctCode_0_482</vt:lpstr>
      <vt:lpstr>'Web Links'!GetCFData4PA.cfm?BU_0_AcctCode_0_483</vt:lpstr>
      <vt:lpstr>'Web Links'!GetCFData4PA.cfm?BU_0_AcctCode_0_484</vt:lpstr>
      <vt:lpstr>'Web Links'!GetCFData4PA.cfm?BU_0_AcctCode_0_485</vt:lpstr>
      <vt:lpstr>'Web Links'!GetCFData4PA.cfm?BU_0_AcctCode_0_486</vt:lpstr>
      <vt:lpstr>'Web Links'!GetCFData4PA.cfm?BU_0_AcctCode_0_487</vt:lpstr>
      <vt:lpstr>'Web Links'!GetCFData4PA.cfm?BU_0_AcctCode_0_488</vt:lpstr>
      <vt:lpstr>'Web Links'!GetCFData4PA.cfm?BU_0_AcctCode_0_489</vt:lpstr>
      <vt:lpstr>'Web Links'!GetCFData4PA.cfm?BU_0_AcctCode_0_49</vt:lpstr>
      <vt:lpstr>'Web Links'!GetCFData4PA.cfm?BU_0_AcctCode_0_490</vt:lpstr>
      <vt:lpstr>'Web Links'!GetCFData4PA.cfm?BU_0_AcctCode_0_491</vt:lpstr>
      <vt:lpstr>'Web Links'!GetCFData4PA.cfm?BU_0_AcctCode_0_492</vt:lpstr>
      <vt:lpstr>'Web Links'!GetCFData4PA.cfm?BU_0_AcctCode_0_493</vt:lpstr>
      <vt:lpstr>'Web Links'!GetCFData4PA.cfm?BU_0_AcctCode_0_5</vt:lpstr>
      <vt:lpstr>'Web Links'!GetCFData4PA.cfm?BU_0_AcctCode_0_50</vt:lpstr>
      <vt:lpstr>'Web Links'!GetCFData4PA.cfm?BU_0_AcctCode_0_51</vt:lpstr>
      <vt:lpstr>'Web Links'!GetCFData4PA.cfm?BU_0_AcctCode_0_52</vt:lpstr>
      <vt:lpstr>'Web Links'!GetCFData4PA.cfm?BU_0_AcctCode_0_53</vt:lpstr>
      <vt:lpstr>'Web Links'!GetCFData4PA.cfm?BU_0_AcctCode_0_54</vt:lpstr>
      <vt:lpstr>'Web Links'!GetCFData4PA.cfm?BU_0_AcctCode_0_55</vt:lpstr>
      <vt:lpstr>'Web Links'!GetCFData4PA.cfm?BU_0_AcctCode_0_56</vt:lpstr>
      <vt:lpstr>'Web Links'!GetCFData4PA.cfm?BU_0_AcctCode_0_57</vt:lpstr>
      <vt:lpstr>'Web Links'!GetCFData4PA.cfm?BU_0_AcctCode_0_58</vt:lpstr>
      <vt:lpstr>'Web Links'!GetCFData4PA.cfm?BU_0_AcctCode_0_59</vt:lpstr>
      <vt:lpstr>'Web Links'!GetCFData4PA.cfm?BU_0_AcctCode_0_6</vt:lpstr>
      <vt:lpstr>'Web Links'!GetCFData4PA.cfm?BU_0_AcctCode_0_60</vt:lpstr>
      <vt:lpstr>'Web Links'!GetCFData4PA.cfm?BU_0_AcctCode_0_61</vt:lpstr>
      <vt:lpstr>'Web Links'!GetCFData4PA.cfm?BU_0_AcctCode_0_62</vt:lpstr>
      <vt:lpstr>'Web Links'!GetCFData4PA.cfm?BU_0_AcctCode_0_63</vt:lpstr>
      <vt:lpstr>'Web Links'!GetCFData4PA.cfm?BU_0_AcctCode_0_64</vt:lpstr>
      <vt:lpstr>'Web Links'!GetCFData4PA.cfm?BU_0_AcctCode_0_65</vt:lpstr>
      <vt:lpstr>'Web Links'!GetCFData4PA.cfm?BU_0_AcctCode_0_66</vt:lpstr>
      <vt:lpstr>'Web Links'!GetCFData4PA.cfm?BU_0_AcctCode_0_67</vt:lpstr>
      <vt:lpstr>'Web Links'!GetCFData4PA.cfm?BU_0_AcctCode_0_68</vt:lpstr>
      <vt:lpstr>'Web Links'!GetCFData4PA.cfm?BU_0_AcctCode_0_69</vt:lpstr>
      <vt:lpstr>'Web Links'!GetCFData4PA.cfm?BU_0_AcctCode_0_7</vt:lpstr>
      <vt:lpstr>'Web Links'!GetCFData4PA.cfm?BU_0_AcctCode_0_70</vt:lpstr>
      <vt:lpstr>'Web Links'!GetCFData4PA.cfm?BU_0_AcctCode_0_71</vt:lpstr>
      <vt:lpstr>'Web Links'!GetCFData4PA.cfm?BU_0_AcctCode_0_72</vt:lpstr>
      <vt:lpstr>'Web Links'!GetCFData4PA.cfm?BU_0_AcctCode_0_73</vt:lpstr>
      <vt:lpstr>'Web Links'!GetCFData4PA.cfm?BU_0_AcctCode_0_74</vt:lpstr>
      <vt:lpstr>'Web Links'!GetCFData4PA.cfm?BU_0_AcctCode_0_75</vt:lpstr>
      <vt:lpstr>'Web Links'!GetCFData4PA.cfm?BU_0_AcctCode_0_76</vt:lpstr>
      <vt:lpstr>'Web Links'!GetCFData4PA.cfm?BU_0_AcctCode_0_77</vt:lpstr>
      <vt:lpstr>'Web Links'!GetCFData4PA.cfm?BU_0_AcctCode_0_78</vt:lpstr>
      <vt:lpstr>'Web Links'!GetCFData4PA.cfm?BU_0_AcctCode_0_79</vt:lpstr>
      <vt:lpstr>'Web Links'!GetCFData4PA.cfm?BU_0_AcctCode_0_8</vt:lpstr>
      <vt:lpstr>'Web Links'!GetCFData4PA.cfm?BU_0_AcctCode_0_80</vt:lpstr>
      <vt:lpstr>'Web Links'!GetCFData4PA.cfm?BU_0_AcctCode_0_81</vt:lpstr>
      <vt:lpstr>'Web Links'!GetCFData4PA.cfm?BU_0_AcctCode_0_82</vt:lpstr>
      <vt:lpstr>'Web Links'!GetCFData4PA.cfm?BU_0_AcctCode_0_83</vt:lpstr>
      <vt:lpstr>'Web Links'!GetCFData4PA.cfm?BU_0_AcctCode_0_84</vt:lpstr>
      <vt:lpstr>'Web Links'!GetCFData4PA.cfm?BU_0_AcctCode_0_85</vt:lpstr>
      <vt:lpstr>'Web Links'!GetCFData4PA.cfm?BU_0_AcctCode_0_86</vt:lpstr>
      <vt:lpstr>'Web Links'!GetCFData4PA.cfm?BU_0_AcctCode_0_87</vt:lpstr>
      <vt:lpstr>'Web Links'!GetCFData4PA.cfm?BU_0_AcctCode_0_88</vt:lpstr>
      <vt:lpstr>'Web Links'!GetCFData4PA.cfm?BU_0_AcctCode_0_89</vt:lpstr>
      <vt:lpstr>'Web Links'!GetCFData4PA.cfm?BU_0_AcctCode_0_9</vt:lpstr>
      <vt:lpstr>'Web Links'!GetCFData4PA.cfm?BU_0_AcctCode_0_90</vt:lpstr>
      <vt:lpstr>'Web Links'!GetCFData4PA.cfm?BU_0_AcctCode_0_91</vt:lpstr>
      <vt:lpstr>'Web Links'!GetCFData4PA.cfm?BU_0_AcctCode_0_92</vt:lpstr>
      <vt:lpstr>'Web Links'!GetCFData4PA.cfm?BU_0_AcctCode_0_93</vt:lpstr>
      <vt:lpstr>'Web Links'!GetCFData4PA.cfm?BU_0_AcctCode_0_94</vt:lpstr>
      <vt:lpstr>'Web Links'!GetCFData4PA.cfm?BU_0_AcctCode_0_95</vt:lpstr>
      <vt:lpstr>'Web Links'!GetCFData4PA.cfm?BU_0_AcctCode_0_96</vt:lpstr>
      <vt:lpstr>'Web Links'!GetCFData4PA.cfm?BU_0_AcctCode_0_97</vt:lpstr>
      <vt:lpstr>'Web Links'!GetCFData4PA.cfm?BU_0_AcctCode_0_98</vt:lpstr>
      <vt:lpstr>'Web Links'!GetCFData4PA.cfm?BU_0_AcctCode_0_99</vt:lpstr>
      <vt:lpstr>'Web Links'!GetCFData4PA.cfm?BU_UMWOR_AcctCode_W102836</vt:lpstr>
      <vt:lpstr>'Web Links'!GetCFData4PA.cfm?BU_UMWOR_AcctCode_W102836_1</vt:lpstr>
      <vt:lpstr>'Web Links'!GetCFData4PA.cfm?BU_UMWOR_AcctCode_W102836_10</vt:lpstr>
      <vt:lpstr>'Web Links'!GetCFData4PA.cfm?BU_UMWOR_AcctCode_W102836_11</vt:lpstr>
      <vt:lpstr>'Web Links'!GetCFData4PA.cfm?BU_UMWOR_AcctCode_W102836_12</vt:lpstr>
      <vt:lpstr>'Web Links'!GetCFData4PA.cfm?BU_UMWOR_AcctCode_W102836_13</vt:lpstr>
      <vt:lpstr>'Web Links'!GetCFData4PA.cfm?BU_UMWOR_AcctCode_W102836_14</vt:lpstr>
      <vt:lpstr>'Web Links'!GetCFData4PA.cfm?BU_UMWOR_AcctCode_W102836_15</vt:lpstr>
      <vt:lpstr>'Web Links'!GetCFData4PA.cfm?BU_UMWOR_AcctCode_W102836_16</vt:lpstr>
      <vt:lpstr>'Web Links'!GetCFData4PA.cfm?BU_UMWOR_AcctCode_W102836_17</vt:lpstr>
      <vt:lpstr>'Web Links'!GetCFData4PA.cfm?BU_UMWOR_AcctCode_W102836_18</vt:lpstr>
      <vt:lpstr>'Web Links'!GetCFData4PA.cfm?BU_UMWOR_AcctCode_W102836_19</vt:lpstr>
      <vt:lpstr>'Web Links'!GetCFData4PA.cfm?BU_UMWOR_AcctCode_W102836_2</vt:lpstr>
      <vt:lpstr>'Web Links'!GetCFData4PA.cfm?BU_UMWOR_AcctCode_W102836_20</vt:lpstr>
      <vt:lpstr>'Web Links'!GetCFData4PA.cfm?BU_UMWOR_AcctCode_W102836_21</vt:lpstr>
      <vt:lpstr>'Web Links'!GetCFData4PA.cfm?BU_UMWOR_AcctCode_W102836_22</vt:lpstr>
      <vt:lpstr>'Web Links'!GetCFData4PA.cfm?BU_UMWOR_AcctCode_W102836_23</vt:lpstr>
      <vt:lpstr>'Web Links'!GetCFData4PA.cfm?BU_UMWOR_AcctCode_W102836_24</vt:lpstr>
      <vt:lpstr>'Web Links'!GetCFData4PA.cfm?BU_UMWOR_AcctCode_W102836_25</vt:lpstr>
      <vt:lpstr>'Web Links'!GetCFData4PA.cfm?BU_UMWOR_AcctCode_W102836_26</vt:lpstr>
      <vt:lpstr>'Web Links'!GetCFData4PA.cfm?BU_UMWOR_AcctCode_W102836_27</vt:lpstr>
      <vt:lpstr>'Web Links'!GetCFData4PA.cfm?BU_UMWOR_AcctCode_W102836_28</vt:lpstr>
      <vt:lpstr>'Web Links'!GetCFData4PA.cfm?BU_UMWOR_AcctCode_W102836_29</vt:lpstr>
      <vt:lpstr>'Web Links'!GetCFData4PA.cfm?BU_UMWOR_AcctCode_W102836_3</vt:lpstr>
      <vt:lpstr>'Web Links'!GetCFData4PA.cfm?BU_UMWOR_AcctCode_W102836_30</vt:lpstr>
      <vt:lpstr>'Web Links'!GetCFData4PA.cfm?BU_UMWOR_AcctCode_W102836_31</vt:lpstr>
      <vt:lpstr>'Web Links'!GetCFData4PA.cfm?BU_UMWOR_AcctCode_W102836_32</vt:lpstr>
      <vt:lpstr>'Web Links'!GetCFData4PA.cfm?BU_UMWOR_AcctCode_W102836_33</vt:lpstr>
      <vt:lpstr>'Web Links'!GetCFData4PA.cfm?BU_UMWOR_AcctCode_W102836_34</vt:lpstr>
      <vt:lpstr>'Web Links'!GetCFData4PA.cfm?BU_UMWOR_AcctCode_W102836_35</vt:lpstr>
      <vt:lpstr>'Web Links'!GetCFData4PA.cfm?BU_UMWOR_AcctCode_W102836_36</vt:lpstr>
      <vt:lpstr>'Web Links'!GetCFData4PA.cfm?BU_UMWOR_AcctCode_W102836_37</vt:lpstr>
      <vt:lpstr>'Web Links'!GetCFData4PA.cfm?BU_UMWOR_AcctCode_W102836_38</vt:lpstr>
      <vt:lpstr>'Web Links'!GetCFData4PA.cfm?BU_UMWOR_AcctCode_W102836_39</vt:lpstr>
      <vt:lpstr>'Web Links'!GetCFData4PA.cfm?BU_UMWOR_AcctCode_W102836_4</vt:lpstr>
      <vt:lpstr>'Web Links'!GetCFData4PA.cfm?BU_UMWOR_AcctCode_W102836_40</vt:lpstr>
      <vt:lpstr>'Web Links'!GetCFData4PA.cfm?BU_UMWOR_AcctCode_W102836_41</vt:lpstr>
      <vt:lpstr>'Web Links'!GetCFData4PA.cfm?BU_UMWOR_AcctCode_W102836_42</vt:lpstr>
      <vt:lpstr>'Web Links'!GetCFData4PA.cfm?BU_UMWOR_AcctCode_W102836_43</vt:lpstr>
      <vt:lpstr>'Web Links'!GetCFData4PA.cfm?BU_UMWOR_AcctCode_W102836_44</vt:lpstr>
      <vt:lpstr>'Web Links'!GetCFData4PA.cfm?BU_UMWOR_AcctCode_W102836_45</vt:lpstr>
      <vt:lpstr>'Web Links'!GetCFData4PA.cfm?BU_UMWOR_AcctCode_W102836_46</vt:lpstr>
      <vt:lpstr>'Web Links'!GetCFData4PA.cfm?BU_UMWOR_AcctCode_W102836_47</vt:lpstr>
      <vt:lpstr>'Web Links'!GetCFData4PA.cfm?BU_UMWOR_AcctCode_W102836_48</vt:lpstr>
      <vt:lpstr>'Web Links'!GetCFData4PA.cfm?BU_UMWOR_AcctCode_W102836_49</vt:lpstr>
      <vt:lpstr>'Web Links'!GetCFData4PA.cfm?BU_UMWOR_AcctCode_W102836_5</vt:lpstr>
      <vt:lpstr>'Web Links'!GetCFData4PA.cfm?BU_UMWOR_AcctCode_W102836_50</vt:lpstr>
      <vt:lpstr>'Web Links'!GetCFData4PA.cfm?BU_UMWOR_AcctCode_W102836_51</vt:lpstr>
      <vt:lpstr>'Web Links'!GetCFData4PA.cfm?BU_UMWOR_AcctCode_W102836_52</vt:lpstr>
      <vt:lpstr>'Web Links'!GetCFData4PA.cfm?BU_UMWOR_AcctCode_W102836_53</vt:lpstr>
      <vt:lpstr>'Web Links'!GetCFData4PA.cfm?BU_UMWOR_AcctCode_W102836_54</vt:lpstr>
      <vt:lpstr>'Web Links'!GetCFData4PA.cfm?BU_UMWOR_AcctCode_W102836_55</vt:lpstr>
      <vt:lpstr>'Web Links'!GetCFData4PA.cfm?BU_UMWOR_AcctCode_W102836_56</vt:lpstr>
      <vt:lpstr>'Web Links'!GetCFData4PA.cfm?BU_UMWOR_AcctCode_W102836_57</vt:lpstr>
      <vt:lpstr>'Web Links'!GetCFData4PA.cfm?BU_UMWOR_AcctCode_W102836_58</vt:lpstr>
      <vt:lpstr>'Web Links'!GetCFData4PA.cfm?BU_UMWOR_AcctCode_W102836_59</vt:lpstr>
      <vt:lpstr>'Web Links'!GetCFData4PA.cfm?BU_UMWOR_AcctCode_W102836_6</vt:lpstr>
      <vt:lpstr>'Web Links'!GetCFData4PA.cfm?BU_UMWOR_AcctCode_W102836_60</vt:lpstr>
      <vt:lpstr>'Web Links'!GetCFData4PA.cfm?BU_UMWOR_AcctCode_W102836_61</vt:lpstr>
      <vt:lpstr>'Web Links'!GetCFData4PA.cfm?BU_UMWOR_AcctCode_W102836_62</vt:lpstr>
      <vt:lpstr>'Web Links'!GetCFData4PA.cfm?BU_UMWOR_AcctCode_W102836_63</vt:lpstr>
      <vt:lpstr>'Web Links'!GetCFData4PA.cfm?BU_UMWOR_AcctCode_W102836_64</vt:lpstr>
      <vt:lpstr>'Web Links'!GetCFData4PA.cfm?BU_UMWOR_AcctCode_W102836_65</vt:lpstr>
      <vt:lpstr>'Web Links'!GetCFData4PA.cfm?BU_UMWOR_AcctCode_W102836_66</vt:lpstr>
      <vt:lpstr>'Web Links'!GetCFData4PA.cfm?BU_UMWOR_AcctCode_W102836_67</vt:lpstr>
      <vt:lpstr>'Web Links'!GetCFData4PA.cfm?BU_UMWOR_AcctCode_W102836_68</vt:lpstr>
      <vt:lpstr>'Web Links'!GetCFData4PA.cfm?BU_UMWOR_AcctCode_W102836_69</vt:lpstr>
      <vt:lpstr>'Web Links'!GetCFData4PA.cfm?BU_UMWOR_AcctCode_W102836_7</vt:lpstr>
      <vt:lpstr>'Web Links'!GetCFData4PA.cfm?BU_UMWOR_AcctCode_W102836_70</vt:lpstr>
      <vt:lpstr>'Web Links'!GetCFData4PA.cfm?BU_UMWOR_AcctCode_W102836_71</vt:lpstr>
      <vt:lpstr>'Web Links'!GetCFData4PA.cfm?BU_UMWOR_AcctCode_W102836_72</vt:lpstr>
      <vt:lpstr>'Web Links'!GetCFData4PA.cfm?BU_UMWOR_AcctCode_W102836_73</vt:lpstr>
      <vt:lpstr>'Web Links'!GetCFData4PA.cfm?BU_UMWOR_AcctCode_W102836_74</vt:lpstr>
      <vt:lpstr>'Web Links'!GetCFData4PA.cfm?BU_UMWOR_AcctCode_W102836_75</vt:lpstr>
      <vt:lpstr>'Web Links'!GetCFData4PA.cfm?BU_UMWOR_AcctCode_W102836_76</vt:lpstr>
      <vt:lpstr>'Web Links'!GetCFData4PA.cfm?BU_UMWOR_AcctCode_W102836_77</vt:lpstr>
      <vt:lpstr>'Web Links'!GetCFData4PA.cfm?BU_UMWOR_AcctCode_W102836_78</vt:lpstr>
      <vt:lpstr>'Web Links'!GetCFData4PA.cfm?BU_UMWOR_AcctCode_W102836_79</vt:lpstr>
      <vt:lpstr>'Web Links'!GetCFData4PA.cfm?BU_UMWOR_AcctCode_W102836_8</vt:lpstr>
      <vt:lpstr>'Web Links'!GetCFData4PA.cfm?BU_UMWOR_AcctCode_W102836_80</vt:lpstr>
      <vt:lpstr>'Web Links'!GetCFData4PA.cfm?BU_UMWOR_AcctCode_W102836_81</vt:lpstr>
      <vt:lpstr>'Web Links'!GetCFData4PA.cfm?BU_UMWOR_AcctCode_W102836_82</vt:lpstr>
      <vt:lpstr>'Web Links'!GetCFData4PA.cfm?BU_UMWOR_AcctCode_W102836_83</vt:lpstr>
      <vt:lpstr>'Web Links'!GetCFData4PA.cfm?BU_UMWOR_AcctCode_W102836_84</vt:lpstr>
      <vt:lpstr>'Web Links'!GetCFData4PA.cfm?BU_UMWOR_AcctCode_W102836_9</vt:lpstr>
      <vt:lpstr>'Web Links'!GetCFData4PA.cfm?BU_UMWOR_AcctCode_W112767</vt:lpstr>
      <vt:lpstr>'Web Links'!GetCFData4PA.cfm?BU_UMWOR_AcctCode_W112767_1</vt:lpstr>
      <vt:lpstr>'Web Links'!GetCFData4PA.cfm?BU_UMWOR_AcctCode_W123456</vt:lpstr>
      <vt:lpstr>'Web Links'!GetCFData4PA.cfm?BU_UMWOR_AcctCode_W123456_1</vt:lpstr>
      <vt:lpstr>'Web Links'!GetCFData4PA2.cfm?BU_0_SpeedKey_0_10</vt:lpstr>
      <vt:lpstr>'Web Links'!GetCFData4PA2.cfm?BU_0_SpeedKey_0_100</vt:lpstr>
      <vt:lpstr>'Web Links'!GetCFData4PA2.cfm?BU_0_SpeedKey_0_101</vt:lpstr>
      <vt:lpstr>'Web Links'!GetCFData4PA2.cfm?BU_0_SpeedKey_0_102</vt:lpstr>
      <vt:lpstr>'Web Links'!GetCFData4PA2.cfm?BU_0_SpeedKey_0_103</vt:lpstr>
      <vt:lpstr>'Web Links'!GetCFData4PA2.cfm?BU_0_SpeedKey_0_104</vt:lpstr>
      <vt:lpstr>'Web Links'!GetCFData4PA2.cfm?BU_0_SpeedKey_0_105</vt:lpstr>
      <vt:lpstr>'Web Links'!GetCFData4PA2.cfm?BU_0_SpeedKey_0_106</vt:lpstr>
      <vt:lpstr>'Web Links'!GetCFData4PA2.cfm?BU_0_SpeedKey_0_107</vt:lpstr>
      <vt:lpstr>'Web Links'!GetCFData4PA2.cfm?BU_0_SpeedKey_0_108</vt:lpstr>
      <vt:lpstr>'Web Links'!GetCFData4PA2.cfm?BU_0_SpeedKey_0_109</vt:lpstr>
      <vt:lpstr>'Web Links'!GetCFData4PA2.cfm?BU_0_SpeedKey_0_11</vt:lpstr>
      <vt:lpstr>'Web Links'!GetCFData4PA2.cfm?BU_0_SpeedKey_0_110</vt:lpstr>
      <vt:lpstr>'Web Links'!GetCFData4PA2.cfm?BU_0_SpeedKey_0_111</vt:lpstr>
      <vt:lpstr>'Web Links'!GetCFData4PA2.cfm?BU_0_SpeedKey_0_112</vt:lpstr>
      <vt:lpstr>'Web Links'!GetCFData4PA2.cfm?BU_0_SpeedKey_0_113</vt:lpstr>
      <vt:lpstr>'Web Links'!GetCFData4PA2.cfm?BU_0_SpeedKey_0_114</vt:lpstr>
      <vt:lpstr>'Web Links'!GetCFData4PA2.cfm?BU_0_SpeedKey_0_115</vt:lpstr>
      <vt:lpstr>'Web Links'!GetCFData4PA2.cfm?BU_0_SpeedKey_0_116</vt:lpstr>
      <vt:lpstr>'Web Links'!GetCFData4PA2.cfm?BU_0_SpeedKey_0_117</vt:lpstr>
      <vt:lpstr>'Web Links'!GetCFData4PA2.cfm?BU_0_SpeedKey_0_118</vt:lpstr>
      <vt:lpstr>'Web Links'!GetCFData4PA2.cfm?BU_0_SpeedKey_0_119</vt:lpstr>
      <vt:lpstr>'Web Links'!GetCFData4PA2.cfm?BU_0_SpeedKey_0_12</vt:lpstr>
      <vt:lpstr>'Web Links'!GetCFData4PA2.cfm?BU_0_SpeedKey_0_120</vt:lpstr>
      <vt:lpstr>'Web Links'!GetCFData4PA2.cfm?BU_0_SpeedKey_0_121</vt:lpstr>
      <vt:lpstr>'Web Links'!GetCFData4PA2.cfm?BU_0_SpeedKey_0_122</vt:lpstr>
      <vt:lpstr>'Web Links'!GetCFData4PA2.cfm?BU_0_SpeedKey_0_123</vt:lpstr>
      <vt:lpstr>'Web Links'!GetCFData4PA2.cfm?BU_0_SpeedKey_0_124</vt:lpstr>
      <vt:lpstr>'Web Links'!GetCFData4PA2.cfm?BU_0_SpeedKey_0_125</vt:lpstr>
      <vt:lpstr>'Web Links'!GetCFData4PA2.cfm?BU_0_SpeedKey_0_126</vt:lpstr>
      <vt:lpstr>'Web Links'!GetCFData4PA2.cfm?BU_0_SpeedKey_0_127</vt:lpstr>
      <vt:lpstr>'Web Links'!GetCFData4PA2.cfm?BU_0_SpeedKey_0_128</vt:lpstr>
      <vt:lpstr>'Web Links'!GetCFData4PA2.cfm?BU_0_SpeedKey_0_129</vt:lpstr>
      <vt:lpstr>'Web Links'!GetCFData4PA2.cfm?BU_0_SpeedKey_0_13</vt:lpstr>
      <vt:lpstr>'Web Links'!GetCFData4PA2.cfm?BU_0_SpeedKey_0_130</vt:lpstr>
      <vt:lpstr>'Web Links'!GetCFData4PA2.cfm?BU_0_SpeedKey_0_131</vt:lpstr>
      <vt:lpstr>'Web Links'!GetCFData4PA2.cfm?BU_0_SpeedKey_0_132</vt:lpstr>
      <vt:lpstr>'Web Links'!GetCFData4PA2.cfm?BU_0_SpeedKey_0_133</vt:lpstr>
      <vt:lpstr>'Web Links'!GetCFData4PA2.cfm?BU_0_SpeedKey_0_134</vt:lpstr>
      <vt:lpstr>'Web Links'!GetCFData4PA2.cfm?BU_0_SpeedKey_0_135</vt:lpstr>
      <vt:lpstr>'Web Links'!GetCFData4PA2.cfm?BU_0_SpeedKey_0_136</vt:lpstr>
      <vt:lpstr>'Web Links'!GetCFData4PA2.cfm?BU_0_SpeedKey_0_137</vt:lpstr>
      <vt:lpstr>'Web Links'!GetCFData4PA2.cfm?BU_0_SpeedKey_0_138</vt:lpstr>
      <vt:lpstr>'Web Links'!GetCFData4PA2.cfm?BU_0_SpeedKey_0_139</vt:lpstr>
      <vt:lpstr>'Web Links'!GetCFData4PA2.cfm?BU_0_SpeedKey_0_14</vt:lpstr>
      <vt:lpstr>'Web Links'!GetCFData4PA2.cfm?BU_0_SpeedKey_0_140</vt:lpstr>
      <vt:lpstr>'Web Links'!GetCFData4PA2.cfm?BU_0_SpeedKey_0_141</vt:lpstr>
      <vt:lpstr>'Web Links'!GetCFData4PA2.cfm?BU_0_SpeedKey_0_142</vt:lpstr>
      <vt:lpstr>'Web Links'!GetCFData4PA2.cfm?BU_0_SpeedKey_0_143</vt:lpstr>
      <vt:lpstr>'Web Links'!GetCFData4PA2.cfm?BU_0_SpeedKey_0_144</vt:lpstr>
      <vt:lpstr>'Web Links'!GetCFData4PA2.cfm?BU_0_SpeedKey_0_145</vt:lpstr>
      <vt:lpstr>'Web Links'!GetCFData4PA2.cfm?BU_0_SpeedKey_0_146</vt:lpstr>
      <vt:lpstr>'Web Links'!GetCFData4PA2.cfm?BU_0_SpeedKey_0_147</vt:lpstr>
      <vt:lpstr>'Web Links'!GetCFData4PA2.cfm?BU_0_SpeedKey_0_148</vt:lpstr>
      <vt:lpstr>'Web Links'!GetCFData4PA2.cfm?BU_0_SpeedKey_0_149</vt:lpstr>
      <vt:lpstr>'Web Links'!GetCFData4PA2.cfm?BU_0_SpeedKey_0_15</vt:lpstr>
      <vt:lpstr>'Web Links'!GetCFData4PA2.cfm?BU_0_SpeedKey_0_150</vt:lpstr>
      <vt:lpstr>'Web Links'!GetCFData4PA2.cfm?BU_0_SpeedKey_0_151</vt:lpstr>
      <vt:lpstr>'Web Links'!GetCFData4PA2.cfm?BU_0_SpeedKey_0_152</vt:lpstr>
      <vt:lpstr>'Web Links'!GetCFData4PA2.cfm?BU_0_SpeedKey_0_153</vt:lpstr>
      <vt:lpstr>'Web Links'!GetCFData4PA2.cfm?BU_0_SpeedKey_0_154</vt:lpstr>
      <vt:lpstr>'Web Links'!GetCFData4PA2.cfm?BU_0_SpeedKey_0_155</vt:lpstr>
      <vt:lpstr>'Web Links'!GetCFData4PA2.cfm?BU_0_SpeedKey_0_156</vt:lpstr>
      <vt:lpstr>'Web Links'!GetCFData4PA2.cfm?BU_0_SpeedKey_0_157</vt:lpstr>
      <vt:lpstr>'Web Links'!GetCFData4PA2.cfm?BU_0_SpeedKey_0_158</vt:lpstr>
      <vt:lpstr>'Web Links'!GetCFData4PA2.cfm?BU_0_SpeedKey_0_159</vt:lpstr>
      <vt:lpstr>'Web Links'!GetCFData4PA2.cfm?BU_0_SpeedKey_0_16</vt:lpstr>
      <vt:lpstr>'Web Links'!GetCFData4PA2.cfm?BU_0_SpeedKey_0_160</vt:lpstr>
      <vt:lpstr>'Web Links'!GetCFData4PA2.cfm?BU_0_SpeedKey_0_161</vt:lpstr>
      <vt:lpstr>'Web Links'!GetCFData4PA2.cfm?BU_0_SpeedKey_0_162</vt:lpstr>
      <vt:lpstr>'Web Links'!GetCFData4PA2.cfm?BU_0_SpeedKey_0_163</vt:lpstr>
      <vt:lpstr>'Web Links'!GetCFData4PA2.cfm?BU_0_SpeedKey_0_164</vt:lpstr>
      <vt:lpstr>'Web Links'!GetCFData4PA2.cfm?BU_0_SpeedKey_0_165</vt:lpstr>
      <vt:lpstr>'Web Links'!GetCFData4PA2.cfm?BU_0_SpeedKey_0_166</vt:lpstr>
      <vt:lpstr>'Web Links'!GetCFData4PA2.cfm?BU_0_SpeedKey_0_167</vt:lpstr>
      <vt:lpstr>'Web Links'!GetCFData4PA2.cfm?BU_0_SpeedKey_0_168</vt:lpstr>
      <vt:lpstr>'Web Links'!GetCFData4PA2.cfm?BU_0_SpeedKey_0_169</vt:lpstr>
      <vt:lpstr>'Web Links'!GetCFData4PA2.cfm?BU_0_SpeedKey_0_17</vt:lpstr>
      <vt:lpstr>'Web Links'!GetCFData4PA2.cfm?BU_0_SpeedKey_0_170</vt:lpstr>
      <vt:lpstr>'Web Links'!GetCFData4PA2.cfm?BU_0_SpeedKey_0_171</vt:lpstr>
      <vt:lpstr>'Web Links'!GetCFData4PA2.cfm?BU_0_SpeedKey_0_172</vt:lpstr>
      <vt:lpstr>'Web Links'!GetCFData4PA2.cfm?BU_0_SpeedKey_0_173</vt:lpstr>
      <vt:lpstr>'Web Links'!GetCFData4PA2.cfm?BU_0_SpeedKey_0_174</vt:lpstr>
      <vt:lpstr>'Web Links'!GetCFData4PA2.cfm?BU_0_SpeedKey_0_175</vt:lpstr>
      <vt:lpstr>'Web Links'!GetCFData4PA2.cfm?BU_0_SpeedKey_0_176</vt:lpstr>
      <vt:lpstr>'Web Links'!GetCFData4PA2.cfm?BU_0_SpeedKey_0_177</vt:lpstr>
      <vt:lpstr>'Web Links'!GetCFData4PA2.cfm?BU_0_SpeedKey_0_178</vt:lpstr>
      <vt:lpstr>'Web Links'!GetCFData4PA2.cfm?BU_0_SpeedKey_0_179</vt:lpstr>
      <vt:lpstr>'Web Links'!GetCFData4PA2.cfm?BU_0_SpeedKey_0_18</vt:lpstr>
      <vt:lpstr>'Web Links'!GetCFData4PA2.cfm?BU_0_SpeedKey_0_180</vt:lpstr>
      <vt:lpstr>'Web Links'!GetCFData4PA2.cfm?BU_0_SpeedKey_0_181</vt:lpstr>
      <vt:lpstr>'Web Links'!GetCFData4PA2.cfm?BU_0_SpeedKey_0_182</vt:lpstr>
      <vt:lpstr>'Web Links'!GetCFData4PA2.cfm?BU_0_SpeedKey_0_183</vt:lpstr>
      <vt:lpstr>'Web Links'!GetCFData4PA2.cfm?BU_0_SpeedKey_0_184</vt:lpstr>
      <vt:lpstr>'Web Links'!GetCFData4PA2.cfm?BU_0_SpeedKey_0_185</vt:lpstr>
      <vt:lpstr>'Web Links'!GetCFData4PA2.cfm?BU_0_SpeedKey_0_186</vt:lpstr>
      <vt:lpstr>'Web Links'!GetCFData4PA2.cfm?BU_0_SpeedKey_0_187</vt:lpstr>
      <vt:lpstr>'Web Links'!GetCFData4PA2.cfm?BU_0_SpeedKey_0_188</vt:lpstr>
      <vt:lpstr>'Web Links'!GetCFData4PA2.cfm?BU_0_SpeedKey_0_189</vt:lpstr>
      <vt:lpstr>'Web Links'!GetCFData4PA2.cfm?BU_0_SpeedKey_0_19</vt:lpstr>
      <vt:lpstr>'Web Links'!GetCFData4PA2.cfm?BU_0_SpeedKey_0_190</vt:lpstr>
      <vt:lpstr>'Web Links'!GetCFData4PA2.cfm?BU_0_SpeedKey_0_191</vt:lpstr>
      <vt:lpstr>'Web Links'!GetCFData4PA2.cfm?BU_0_SpeedKey_0_192</vt:lpstr>
      <vt:lpstr>'Web Links'!GetCFData4PA2.cfm?BU_0_SpeedKey_0_193</vt:lpstr>
      <vt:lpstr>'Web Links'!GetCFData4PA2.cfm?BU_0_SpeedKey_0_194</vt:lpstr>
      <vt:lpstr>'Web Links'!GetCFData4PA2.cfm?BU_0_SpeedKey_0_195</vt:lpstr>
      <vt:lpstr>'Web Links'!GetCFData4PA2.cfm?BU_0_SpeedKey_0_196</vt:lpstr>
      <vt:lpstr>'Web Links'!GetCFData4PA2.cfm?BU_0_SpeedKey_0_197</vt:lpstr>
      <vt:lpstr>'Web Links'!GetCFData4PA2.cfm?BU_0_SpeedKey_0_198</vt:lpstr>
      <vt:lpstr>'Web Links'!GetCFData4PA2.cfm?BU_0_SpeedKey_0_199</vt:lpstr>
      <vt:lpstr>'Web Links'!GetCFData4PA2.cfm?BU_0_SpeedKey_0_20</vt:lpstr>
      <vt:lpstr>'Web Links'!GetCFData4PA2.cfm?BU_0_SpeedKey_0_200</vt:lpstr>
      <vt:lpstr>'Web Links'!GetCFData4PA2.cfm?BU_0_SpeedKey_0_201</vt:lpstr>
      <vt:lpstr>'Web Links'!GetCFData4PA2.cfm?BU_0_SpeedKey_0_202</vt:lpstr>
      <vt:lpstr>'Web Links'!GetCFData4PA2.cfm?BU_0_SpeedKey_0_203</vt:lpstr>
      <vt:lpstr>'Web Links'!GetCFData4PA2.cfm?BU_0_SpeedKey_0_204</vt:lpstr>
      <vt:lpstr>'Web Links'!GetCFData4PA2.cfm?BU_0_SpeedKey_0_205</vt:lpstr>
      <vt:lpstr>'Web Links'!GetCFData4PA2.cfm?BU_0_SpeedKey_0_206</vt:lpstr>
      <vt:lpstr>'Web Links'!GetCFData4PA2.cfm?BU_0_SpeedKey_0_207</vt:lpstr>
      <vt:lpstr>'Web Links'!GetCFData4PA2.cfm?BU_0_SpeedKey_0_208</vt:lpstr>
      <vt:lpstr>'Web Links'!GetCFData4PA2.cfm?BU_0_SpeedKey_0_209</vt:lpstr>
      <vt:lpstr>'Web Links'!GetCFData4PA2.cfm?BU_0_SpeedKey_0_21</vt:lpstr>
      <vt:lpstr>'Web Links'!GetCFData4PA2.cfm?BU_0_SpeedKey_0_210</vt:lpstr>
      <vt:lpstr>'Web Links'!GetCFData4PA2.cfm?BU_0_SpeedKey_0_211</vt:lpstr>
      <vt:lpstr>'Web Links'!GetCFData4PA2.cfm?BU_0_SpeedKey_0_212</vt:lpstr>
      <vt:lpstr>'Web Links'!GetCFData4PA2.cfm?BU_0_SpeedKey_0_213</vt:lpstr>
      <vt:lpstr>'Web Links'!GetCFData4PA2.cfm?BU_0_SpeedKey_0_214</vt:lpstr>
      <vt:lpstr>'Web Links'!GetCFData4PA2.cfm?BU_0_SpeedKey_0_215</vt:lpstr>
      <vt:lpstr>'Web Links'!GetCFData4PA2.cfm?BU_0_SpeedKey_0_216</vt:lpstr>
      <vt:lpstr>'Web Links'!GetCFData4PA2.cfm?BU_0_SpeedKey_0_217</vt:lpstr>
      <vt:lpstr>'Web Links'!GetCFData4PA2.cfm?BU_0_SpeedKey_0_218</vt:lpstr>
      <vt:lpstr>'Web Links'!GetCFData4PA2.cfm?BU_0_SpeedKey_0_219</vt:lpstr>
      <vt:lpstr>'Web Links'!GetCFData4PA2.cfm?BU_0_SpeedKey_0_22</vt:lpstr>
      <vt:lpstr>'Web Links'!GetCFData4PA2.cfm?BU_0_SpeedKey_0_220</vt:lpstr>
      <vt:lpstr>'Web Links'!GetCFData4PA2.cfm?BU_0_SpeedKey_0_221</vt:lpstr>
      <vt:lpstr>'Web Links'!GetCFData4PA2.cfm?BU_0_SpeedKey_0_222</vt:lpstr>
      <vt:lpstr>'Web Links'!GetCFData4PA2.cfm?BU_0_SpeedKey_0_223</vt:lpstr>
      <vt:lpstr>'Web Links'!GetCFData4PA2.cfm?BU_0_SpeedKey_0_224</vt:lpstr>
      <vt:lpstr>'Web Links'!GetCFData4PA2.cfm?BU_0_SpeedKey_0_225</vt:lpstr>
      <vt:lpstr>'Web Links'!GetCFData4PA2.cfm?BU_0_SpeedKey_0_226</vt:lpstr>
      <vt:lpstr>'Web Links'!GetCFData4PA2.cfm?BU_0_SpeedKey_0_227</vt:lpstr>
      <vt:lpstr>'Web Links'!GetCFData4PA2.cfm?BU_0_SpeedKey_0_228</vt:lpstr>
      <vt:lpstr>'Web Links'!GetCFData4PA2.cfm?BU_0_SpeedKey_0_229</vt:lpstr>
      <vt:lpstr>'Web Links'!GetCFData4PA2.cfm?BU_0_SpeedKey_0_23</vt:lpstr>
      <vt:lpstr>'Web Links'!GetCFData4PA2.cfm?BU_0_SpeedKey_0_230</vt:lpstr>
      <vt:lpstr>'Web Links'!GetCFData4PA2.cfm?BU_0_SpeedKey_0_231</vt:lpstr>
      <vt:lpstr>'Web Links'!GetCFData4PA2.cfm?BU_0_SpeedKey_0_232</vt:lpstr>
      <vt:lpstr>'Web Links'!GetCFData4PA2.cfm?BU_0_SpeedKey_0_233</vt:lpstr>
      <vt:lpstr>'Web Links'!GetCFData4PA2.cfm?BU_0_SpeedKey_0_234</vt:lpstr>
      <vt:lpstr>'Web Links'!GetCFData4PA2.cfm?BU_0_SpeedKey_0_235</vt:lpstr>
      <vt:lpstr>'Web Links'!GetCFData4PA2.cfm?BU_0_SpeedKey_0_236</vt:lpstr>
      <vt:lpstr>'Web Links'!GetCFData4PA2.cfm?BU_0_SpeedKey_0_237</vt:lpstr>
      <vt:lpstr>'Web Links'!GetCFData4PA2.cfm?BU_0_SpeedKey_0_238</vt:lpstr>
      <vt:lpstr>'Web Links'!GetCFData4PA2.cfm?BU_0_SpeedKey_0_239</vt:lpstr>
      <vt:lpstr>'Web Links'!GetCFData4PA2.cfm?BU_0_SpeedKey_0_24</vt:lpstr>
      <vt:lpstr>'Web Links'!GetCFData4PA2.cfm?BU_0_SpeedKey_0_240</vt:lpstr>
      <vt:lpstr>'Web Links'!GetCFData4PA2.cfm?BU_0_SpeedKey_0_241</vt:lpstr>
      <vt:lpstr>'Web Links'!GetCFData4PA2.cfm?BU_0_SpeedKey_0_242</vt:lpstr>
      <vt:lpstr>'Web Links'!GetCFData4PA2.cfm?BU_0_SpeedKey_0_243</vt:lpstr>
      <vt:lpstr>'Web Links'!GetCFData4PA2.cfm?BU_0_SpeedKey_0_244</vt:lpstr>
      <vt:lpstr>'Web Links'!GetCFData4PA2.cfm?BU_0_SpeedKey_0_245</vt:lpstr>
      <vt:lpstr>'Web Links'!GetCFData4PA2.cfm?BU_0_SpeedKey_0_246</vt:lpstr>
      <vt:lpstr>'Web Links'!GetCFData4PA2.cfm?BU_0_SpeedKey_0_247</vt:lpstr>
      <vt:lpstr>'Web Links'!GetCFData4PA2.cfm?BU_0_SpeedKey_0_248</vt:lpstr>
      <vt:lpstr>'Web Links'!GetCFData4PA2.cfm?BU_0_SpeedKey_0_249</vt:lpstr>
      <vt:lpstr>'Web Links'!GetCFData4PA2.cfm?BU_0_SpeedKey_0_25</vt:lpstr>
      <vt:lpstr>'Web Links'!GetCFData4PA2.cfm?BU_0_SpeedKey_0_250</vt:lpstr>
      <vt:lpstr>'Web Links'!GetCFData4PA2.cfm?BU_0_SpeedKey_0_251</vt:lpstr>
      <vt:lpstr>'Web Links'!GetCFData4PA2.cfm?BU_0_SpeedKey_0_252</vt:lpstr>
      <vt:lpstr>'Web Links'!GetCFData4PA2.cfm?BU_0_SpeedKey_0_253</vt:lpstr>
      <vt:lpstr>'Web Links'!GetCFData4PA2.cfm?BU_0_SpeedKey_0_254</vt:lpstr>
      <vt:lpstr>'Web Links'!GetCFData4PA2.cfm?BU_0_SpeedKey_0_255</vt:lpstr>
      <vt:lpstr>'Web Links'!GetCFData4PA2.cfm?BU_0_SpeedKey_0_256</vt:lpstr>
      <vt:lpstr>'Web Links'!GetCFData4PA2.cfm?BU_0_SpeedKey_0_257</vt:lpstr>
      <vt:lpstr>'Web Links'!GetCFData4PA2.cfm?BU_0_SpeedKey_0_258</vt:lpstr>
      <vt:lpstr>'Web Links'!GetCFData4PA2.cfm?BU_0_SpeedKey_0_259</vt:lpstr>
      <vt:lpstr>'Web Links'!GetCFData4PA2.cfm?BU_0_SpeedKey_0_26</vt:lpstr>
      <vt:lpstr>'Web Links'!GetCFData4PA2.cfm?BU_0_SpeedKey_0_260</vt:lpstr>
      <vt:lpstr>'Web Links'!GetCFData4PA2.cfm?BU_0_SpeedKey_0_261</vt:lpstr>
      <vt:lpstr>'Web Links'!GetCFData4PA2.cfm?BU_0_SpeedKey_0_262</vt:lpstr>
      <vt:lpstr>'Web Links'!GetCFData4PA2.cfm?BU_0_SpeedKey_0_263</vt:lpstr>
      <vt:lpstr>'Web Links'!GetCFData4PA2.cfm?BU_0_SpeedKey_0_264</vt:lpstr>
      <vt:lpstr>'Web Links'!GetCFData4PA2.cfm?BU_0_SpeedKey_0_265</vt:lpstr>
      <vt:lpstr>'Web Links'!GetCFData4PA2.cfm?BU_0_SpeedKey_0_266</vt:lpstr>
      <vt:lpstr>'Web Links'!GetCFData4PA2.cfm?BU_0_SpeedKey_0_267</vt:lpstr>
      <vt:lpstr>'Web Links'!GetCFData4PA2.cfm?BU_0_SpeedKey_0_268</vt:lpstr>
      <vt:lpstr>'Web Links'!GetCFData4PA2.cfm?BU_0_SpeedKey_0_269</vt:lpstr>
      <vt:lpstr>'Web Links'!GetCFData4PA2.cfm?BU_0_SpeedKey_0_27</vt:lpstr>
      <vt:lpstr>'Web Links'!GetCFData4PA2.cfm?BU_0_SpeedKey_0_270</vt:lpstr>
      <vt:lpstr>'Web Links'!GetCFData4PA2.cfm?BU_0_SpeedKey_0_271</vt:lpstr>
      <vt:lpstr>'Web Links'!GetCFData4PA2.cfm?BU_0_SpeedKey_0_272</vt:lpstr>
      <vt:lpstr>'Web Links'!GetCFData4PA2.cfm?BU_0_SpeedKey_0_273</vt:lpstr>
      <vt:lpstr>'Web Links'!GetCFData4PA2.cfm?BU_0_SpeedKey_0_274</vt:lpstr>
      <vt:lpstr>'Web Links'!GetCFData4PA2.cfm?BU_0_SpeedKey_0_275</vt:lpstr>
      <vt:lpstr>'Web Links'!GetCFData4PA2.cfm?BU_0_SpeedKey_0_276</vt:lpstr>
      <vt:lpstr>'Web Links'!GetCFData4PA2.cfm?BU_0_SpeedKey_0_277</vt:lpstr>
      <vt:lpstr>'Web Links'!GetCFData4PA2.cfm?BU_0_SpeedKey_0_278</vt:lpstr>
      <vt:lpstr>'Web Links'!GetCFData4PA2.cfm?BU_0_SpeedKey_0_279</vt:lpstr>
      <vt:lpstr>'Web Links'!GetCFData4PA2.cfm?BU_0_SpeedKey_0_28</vt:lpstr>
      <vt:lpstr>'Web Links'!GetCFData4PA2.cfm?BU_0_SpeedKey_0_280</vt:lpstr>
      <vt:lpstr>'Web Links'!GetCFData4PA2.cfm?BU_0_SpeedKey_0_281</vt:lpstr>
      <vt:lpstr>'Web Links'!GetCFData4PA2.cfm?BU_0_SpeedKey_0_282</vt:lpstr>
      <vt:lpstr>'Web Links'!GetCFData4PA2.cfm?BU_0_SpeedKey_0_283</vt:lpstr>
      <vt:lpstr>'Web Links'!GetCFData4PA2.cfm?BU_0_SpeedKey_0_284</vt:lpstr>
      <vt:lpstr>'Web Links'!GetCFData4PA2.cfm?BU_0_SpeedKey_0_285</vt:lpstr>
      <vt:lpstr>'Web Links'!GetCFData4PA2.cfm?BU_0_SpeedKey_0_286</vt:lpstr>
      <vt:lpstr>'Web Links'!GetCFData4PA2.cfm?BU_0_SpeedKey_0_287</vt:lpstr>
      <vt:lpstr>'Web Links'!GetCFData4PA2.cfm?BU_0_SpeedKey_0_288</vt:lpstr>
      <vt:lpstr>'Web Links'!GetCFData4PA2.cfm?BU_0_SpeedKey_0_289</vt:lpstr>
      <vt:lpstr>'Web Links'!GetCFData4PA2.cfm?BU_0_SpeedKey_0_29</vt:lpstr>
      <vt:lpstr>'Web Links'!GetCFData4PA2.cfm?BU_0_SpeedKey_0_290</vt:lpstr>
      <vt:lpstr>'Web Links'!GetCFData4PA2.cfm?BU_0_SpeedKey_0_291</vt:lpstr>
      <vt:lpstr>'Web Links'!GetCFData4PA2.cfm?BU_0_SpeedKey_0_292</vt:lpstr>
      <vt:lpstr>'Web Links'!GetCFData4PA2.cfm?BU_0_SpeedKey_0_293</vt:lpstr>
      <vt:lpstr>'Web Links'!GetCFData4PA2.cfm?BU_0_SpeedKey_0_294</vt:lpstr>
      <vt:lpstr>'Web Links'!GetCFData4PA2.cfm?BU_0_SpeedKey_0_295</vt:lpstr>
      <vt:lpstr>'Web Links'!GetCFData4PA2.cfm?BU_0_SpeedKey_0_296</vt:lpstr>
      <vt:lpstr>'Web Links'!GetCFData4PA2.cfm?BU_0_SpeedKey_0_297</vt:lpstr>
      <vt:lpstr>'Web Links'!GetCFData4PA2.cfm?BU_0_SpeedKey_0_298</vt:lpstr>
      <vt:lpstr>'Web Links'!GetCFData4PA2.cfm?BU_0_SpeedKey_0_299</vt:lpstr>
      <vt:lpstr>'Web Links'!GetCFData4PA2.cfm?BU_0_SpeedKey_0_30</vt:lpstr>
      <vt:lpstr>'Web Links'!GetCFData4PA2.cfm?BU_0_SpeedKey_0_300</vt:lpstr>
      <vt:lpstr>'Web Links'!GetCFData4PA2.cfm?BU_0_SpeedKey_0_301</vt:lpstr>
      <vt:lpstr>'Web Links'!GetCFData4PA2.cfm?BU_0_SpeedKey_0_302</vt:lpstr>
      <vt:lpstr>'Web Links'!GetCFData4PA2.cfm?BU_0_SpeedKey_0_303</vt:lpstr>
      <vt:lpstr>'Web Links'!GetCFData4PA2.cfm?BU_0_SpeedKey_0_304</vt:lpstr>
      <vt:lpstr>'Web Links'!GetCFData4PA2.cfm?BU_0_SpeedKey_0_305</vt:lpstr>
      <vt:lpstr>'Web Links'!GetCFData4PA2.cfm?BU_0_SpeedKey_0_306</vt:lpstr>
      <vt:lpstr>'Web Links'!GetCFData4PA2.cfm?BU_0_SpeedKey_0_307</vt:lpstr>
      <vt:lpstr>'Web Links'!GetCFData4PA2.cfm?BU_0_SpeedKey_0_308</vt:lpstr>
      <vt:lpstr>'Web Links'!GetCFData4PA2.cfm?BU_0_SpeedKey_0_309</vt:lpstr>
      <vt:lpstr>'Web Links'!GetCFData4PA2.cfm?BU_0_SpeedKey_0_31</vt:lpstr>
      <vt:lpstr>'Web Links'!GetCFData4PA2.cfm?BU_0_SpeedKey_0_310</vt:lpstr>
      <vt:lpstr>'Web Links'!GetCFData4PA2.cfm?BU_0_SpeedKey_0_311</vt:lpstr>
      <vt:lpstr>'Web Links'!GetCFData4PA2.cfm?BU_0_SpeedKey_0_312</vt:lpstr>
      <vt:lpstr>'Web Links'!GetCFData4PA2.cfm?BU_0_SpeedKey_0_313</vt:lpstr>
      <vt:lpstr>'Web Links'!GetCFData4PA2.cfm?BU_0_SpeedKey_0_314</vt:lpstr>
      <vt:lpstr>'Web Links'!GetCFData4PA2.cfm?BU_0_SpeedKey_0_315</vt:lpstr>
      <vt:lpstr>'Web Links'!GetCFData4PA2.cfm?BU_0_SpeedKey_0_316</vt:lpstr>
      <vt:lpstr>'Web Links'!GetCFData4PA2.cfm?BU_0_SpeedKey_0_317</vt:lpstr>
      <vt:lpstr>'Web Links'!GetCFData4PA2.cfm?BU_0_SpeedKey_0_318</vt:lpstr>
      <vt:lpstr>'Web Links'!GetCFData4PA2.cfm?BU_0_SpeedKey_0_319</vt:lpstr>
      <vt:lpstr>'Web Links'!GetCFData4PA2.cfm?BU_0_SpeedKey_0_32</vt:lpstr>
      <vt:lpstr>'Web Links'!GetCFData4PA2.cfm?BU_0_SpeedKey_0_320</vt:lpstr>
      <vt:lpstr>'Web Links'!GetCFData4PA2.cfm?BU_0_SpeedKey_0_321</vt:lpstr>
      <vt:lpstr>'Web Links'!GetCFData4PA2.cfm?BU_0_SpeedKey_0_322</vt:lpstr>
      <vt:lpstr>'Web Links'!GetCFData4PA2.cfm?BU_0_SpeedKey_0_323</vt:lpstr>
      <vt:lpstr>'Web Links'!GetCFData4PA2.cfm?BU_0_SpeedKey_0_324</vt:lpstr>
      <vt:lpstr>'Web Links'!GetCFData4PA2.cfm?BU_0_SpeedKey_0_325</vt:lpstr>
      <vt:lpstr>'Web Links'!GetCFData4PA2.cfm?BU_0_SpeedKey_0_326</vt:lpstr>
      <vt:lpstr>'Web Links'!GetCFData4PA2.cfm?BU_0_SpeedKey_0_327</vt:lpstr>
      <vt:lpstr>'Web Links'!GetCFData4PA2.cfm?BU_0_SpeedKey_0_328</vt:lpstr>
      <vt:lpstr>'Web Links'!GetCFData4PA2.cfm?BU_0_SpeedKey_0_329</vt:lpstr>
      <vt:lpstr>'Web Links'!GetCFData4PA2.cfm?BU_0_SpeedKey_0_33</vt:lpstr>
      <vt:lpstr>'Web Links'!GetCFData4PA2.cfm?BU_0_SpeedKey_0_330</vt:lpstr>
      <vt:lpstr>'Web Links'!GetCFData4PA2.cfm?BU_0_SpeedKey_0_331</vt:lpstr>
      <vt:lpstr>'Web Links'!GetCFData4PA2.cfm?BU_0_SpeedKey_0_332</vt:lpstr>
      <vt:lpstr>'Web Links'!GetCFData4PA2.cfm?BU_0_SpeedKey_0_333</vt:lpstr>
      <vt:lpstr>'Web Links'!GetCFData4PA2.cfm?BU_0_SpeedKey_0_334</vt:lpstr>
      <vt:lpstr>'Web Links'!GetCFData4PA2.cfm?BU_0_SpeedKey_0_335</vt:lpstr>
      <vt:lpstr>'Web Links'!GetCFData4PA2.cfm?BU_0_SpeedKey_0_336</vt:lpstr>
      <vt:lpstr>'Web Links'!GetCFData4PA2.cfm?BU_0_SpeedKey_0_337</vt:lpstr>
      <vt:lpstr>'Web Links'!GetCFData4PA2.cfm?BU_0_SpeedKey_0_338</vt:lpstr>
      <vt:lpstr>'Web Links'!GetCFData4PA2.cfm?BU_0_SpeedKey_0_339</vt:lpstr>
      <vt:lpstr>'Web Links'!GetCFData4PA2.cfm?BU_0_SpeedKey_0_34</vt:lpstr>
      <vt:lpstr>'Web Links'!GetCFData4PA2.cfm?BU_0_SpeedKey_0_340</vt:lpstr>
      <vt:lpstr>'Web Links'!GetCFData4PA2.cfm?BU_0_SpeedKey_0_341</vt:lpstr>
      <vt:lpstr>'Web Links'!GetCFData4PA2.cfm?BU_0_SpeedKey_0_342</vt:lpstr>
      <vt:lpstr>'Web Links'!GetCFData4PA2.cfm?BU_0_SpeedKey_0_343</vt:lpstr>
      <vt:lpstr>'Web Links'!GetCFData4PA2.cfm?BU_0_SpeedKey_0_344</vt:lpstr>
      <vt:lpstr>'Web Links'!GetCFData4PA2.cfm?BU_0_SpeedKey_0_345</vt:lpstr>
      <vt:lpstr>'Web Links'!GetCFData4PA2.cfm?BU_0_SpeedKey_0_346</vt:lpstr>
      <vt:lpstr>'Web Links'!GetCFData4PA2.cfm?BU_0_SpeedKey_0_347</vt:lpstr>
      <vt:lpstr>'Web Links'!GetCFData4PA2.cfm?BU_0_SpeedKey_0_348</vt:lpstr>
      <vt:lpstr>'Web Links'!GetCFData4PA2.cfm?BU_0_SpeedKey_0_349</vt:lpstr>
      <vt:lpstr>'Web Links'!GetCFData4PA2.cfm?BU_0_SpeedKey_0_35</vt:lpstr>
      <vt:lpstr>'Web Links'!GetCFData4PA2.cfm?BU_0_SpeedKey_0_350</vt:lpstr>
      <vt:lpstr>'Web Links'!GetCFData4PA2.cfm?BU_0_SpeedKey_0_351</vt:lpstr>
      <vt:lpstr>'Web Links'!GetCFData4PA2.cfm?BU_0_SpeedKey_0_352</vt:lpstr>
      <vt:lpstr>'Web Links'!GetCFData4PA2.cfm?BU_0_SpeedKey_0_353</vt:lpstr>
      <vt:lpstr>'Web Links'!GetCFData4PA2.cfm?BU_0_SpeedKey_0_354</vt:lpstr>
      <vt:lpstr>'Web Links'!GetCFData4PA2.cfm?BU_0_SpeedKey_0_355</vt:lpstr>
      <vt:lpstr>'Web Links'!GetCFData4PA2.cfm?BU_0_SpeedKey_0_356</vt:lpstr>
      <vt:lpstr>'Web Links'!GetCFData4PA2.cfm?BU_0_SpeedKey_0_357</vt:lpstr>
      <vt:lpstr>'Web Links'!GetCFData4PA2.cfm?BU_0_SpeedKey_0_358</vt:lpstr>
      <vt:lpstr>'Web Links'!GetCFData4PA2.cfm?BU_0_SpeedKey_0_359</vt:lpstr>
      <vt:lpstr>'Web Links'!GetCFData4PA2.cfm?BU_0_SpeedKey_0_36</vt:lpstr>
      <vt:lpstr>'Web Links'!GetCFData4PA2.cfm?BU_0_SpeedKey_0_360</vt:lpstr>
      <vt:lpstr>'Web Links'!GetCFData4PA2.cfm?BU_0_SpeedKey_0_361</vt:lpstr>
      <vt:lpstr>'Web Links'!GetCFData4PA2.cfm?BU_0_SpeedKey_0_362</vt:lpstr>
      <vt:lpstr>'Web Links'!GetCFData4PA2.cfm?BU_0_SpeedKey_0_363</vt:lpstr>
      <vt:lpstr>'Web Links'!GetCFData4PA2.cfm?BU_0_SpeedKey_0_364</vt:lpstr>
      <vt:lpstr>'Web Links'!GetCFData4PA2.cfm?BU_0_SpeedKey_0_365</vt:lpstr>
      <vt:lpstr>'Web Links'!GetCFData4PA2.cfm?BU_0_SpeedKey_0_366</vt:lpstr>
      <vt:lpstr>'Web Links'!GetCFData4PA2.cfm?BU_0_SpeedKey_0_367</vt:lpstr>
      <vt:lpstr>'Web Links'!GetCFData4PA2.cfm?BU_0_SpeedKey_0_368</vt:lpstr>
      <vt:lpstr>'Web Links'!GetCFData4PA2.cfm?BU_0_SpeedKey_0_369</vt:lpstr>
      <vt:lpstr>'Web Links'!GetCFData4PA2.cfm?BU_0_SpeedKey_0_37</vt:lpstr>
      <vt:lpstr>'Web Links'!GetCFData4PA2.cfm?BU_0_SpeedKey_0_370</vt:lpstr>
      <vt:lpstr>'Web Links'!GetCFData4PA2.cfm?BU_0_SpeedKey_0_371</vt:lpstr>
      <vt:lpstr>'Web Links'!GetCFData4PA2.cfm?BU_0_SpeedKey_0_372</vt:lpstr>
      <vt:lpstr>'Web Links'!GetCFData4PA2.cfm?BU_0_SpeedKey_0_373</vt:lpstr>
      <vt:lpstr>'Web Links'!GetCFData4PA2.cfm?BU_0_SpeedKey_0_374</vt:lpstr>
      <vt:lpstr>'Web Links'!GetCFData4PA2.cfm?BU_0_SpeedKey_0_375</vt:lpstr>
      <vt:lpstr>'Web Links'!GetCFData4PA2.cfm?BU_0_SpeedKey_0_376</vt:lpstr>
      <vt:lpstr>'Web Links'!GetCFData4PA2.cfm?BU_0_SpeedKey_0_377</vt:lpstr>
      <vt:lpstr>'Web Links'!GetCFData4PA2.cfm?BU_0_SpeedKey_0_378</vt:lpstr>
      <vt:lpstr>'Web Links'!GetCFData4PA2.cfm?BU_0_SpeedKey_0_379</vt:lpstr>
      <vt:lpstr>'Web Links'!GetCFData4PA2.cfm?BU_0_SpeedKey_0_38</vt:lpstr>
      <vt:lpstr>'Web Links'!GetCFData4PA2.cfm?BU_0_SpeedKey_0_380</vt:lpstr>
      <vt:lpstr>'Web Links'!GetCFData4PA2.cfm?BU_0_SpeedKey_0_381</vt:lpstr>
      <vt:lpstr>'Web Links'!GetCFData4PA2.cfm?BU_0_SpeedKey_0_382</vt:lpstr>
      <vt:lpstr>'Web Links'!GetCFData4PA2.cfm?BU_0_SpeedKey_0_383</vt:lpstr>
      <vt:lpstr>'Web Links'!GetCFData4PA2.cfm?BU_0_SpeedKey_0_384</vt:lpstr>
      <vt:lpstr>'Web Links'!GetCFData4PA2.cfm?BU_0_SpeedKey_0_385</vt:lpstr>
      <vt:lpstr>'Web Links'!GetCFData4PA2.cfm?BU_0_SpeedKey_0_386</vt:lpstr>
      <vt:lpstr>'Web Links'!GetCFData4PA2.cfm?BU_0_SpeedKey_0_387</vt:lpstr>
      <vt:lpstr>'Web Links'!GetCFData4PA2.cfm?BU_0_SpeedKey_0_388</vt:lpstr>
      <vt:lpstr>'Web Links'!GetCFData4PA2.cfm?BU_0_SpeedKey_0_389</vt:lpstr>
      <vt:lpstr>'Web Links'!GetCFData4PA2.cfm?BU_0_SpeedKey_0_39</vt:lpstr>
      <vt:lpstr>'Web Links'!GetCFData4PA2.cfm?BU_0_SpeedKey_0_390</vt:lpstr>
      <vt:lpstr>'Web Links'!GetCFData4PA2.cfm?BU_0_SpeedKey_0_391</vt:lpstr>
      <vt:lpstr>'Web Links'!GetCFData4PA2.cfm?BU_0_SpeedKey_0_392</vt:lpstr>
      <vt:lpstr>'Web Links'!GetCFData4PA2.cfm?BU_0_SpeedKey_0_393</vt:lpstr>
      <vt:lpstr>'Web Links'!GetCFData4PA2.cfm?BU_0_SpeedKey_0_394</vt:lpstr>
      <vt:lpstr>'Web Links'!GetCFData4PA2.cfm?BU_0_SpeedKey_0_395</vt:lpstr>
      <vt:lpstr>'Web Links'!GetCFData4PA2.cfm?BU_0_SpeedKey_0_396</vt:lpstr>
      <vt:lpstr>'Web Links'!GetCFData4PA2.cfm?BU_0_SpeedKey_0_397</vt:lpstr>
      <vt:lpstr>'Web Links'!GetCFData4PA2.cfm?BU_0_SpeedKey_0_398</vt:lpstr>
      <vt:lpstr>'Web Links'!GetCFData4PA2.cfm?BU_0_SpeedKey_0_399</vt:lpstr>
      <vt:lpstr>'Web Links'!GetCFData4PA2.cfm?BU_0_SpeedKey_0_40</vt:lpstr>
      <vt:lpstr>'Web Links'!GetCFData4PA2.cfm?BU_0_SpeedKey_0_400</vt:lpstr>
      <vt:lpstr>'Web Links'!GetCFData4PA2.cfm?BU_0_SpeedKey_0_401</vt:lpstr>
      <vt:lpstr>'Web Links'!GetCFData4PA2.cfm?BU_0_SpeedKey_0_402</vt:lpstr>
      <vt:lpstr>'Web Links'!GetCFData4PA2.cfm?BU_0_SpeedKey_0_403</vt:lpstr>
      <vt:lpstr>'Web Links'!GetCFData4PA2.cfm?BU_0_SpeedKey_0_404</vt:lpstr>
      <vt:lpstr>'Web Links'!GetCFData4PA2.cfm?BU_0_SpeedKey_0_405</vt:lpstr>
      <vt:lpstr>'Web Links'!GetCFData4PA2.cfm?BU_0_SpeedKey_0_406</vt:lpstr>
      <vt:lpstr>'Web Links'!GetCFData4PA2.cfm?BU_0_SpeedKey_0_407</vt:lpstr>
      <vt:lpstr>'Web Links'!GetCFData4PA2.cfm?BU_0_SpeedKey_0_408</vt:lpstr>
      <vt:lpstr>'Web Links'!GetCFData4PA2.cfm?BU_0_SpeedKey_0_409</vt:lpstr>
      <vt:lpstr>'Web Links'!GetCFData4PA2.cfm?BU_0_SpeedKey_0_41</vt:lpstr>
      <vt:lpstr>'Web Links'!GetCFData4PA2.cfm?BU_0_SpeedKey_0_410</vt:lpstr>
      <vt:lpstr>'Web Links'!GetCFData4PA2.cfm?BU_0_SpeedKey_0_411</vt:lpstr>
      <vt:lpstr>'Web Links'!GetCFData4PA2.cfm?BU_0_SpeedKey_0_412</vt:lpstr>
      <vt:lpstr>'Web Links'!GetCFData4PA2.cfm?BU_0_SpeedKey_0_413</vt:lpstr>
      <vt:lpstr>'Web Links'!GetCFData4PA2.cfm?BU_0_SpeedKey_0_414</vt:lpstr>
      <vt:lpstr>'Web Links'!GetCFData4PA2.cfm?BU_0_SpeedKey_0_415</vt:lpstr>
      <vt:lpstr>'Web Links'!GetCFData4PA2.cfm?BU_0_SpeedKey_0_416</vt:lpstr>
      <vt:lpstr>'Web Links'!GetCFData4PA2.cfm?BU_0_SpeedKey_0_417</vt:lpstr>
      <vt:lpstr>'Web Links'!GetCFData4PA2.cfm?BU_0_SpeedKey_0_418</vt:lpstr>
      <vt:lpstr>'Web Links'!GetCFData4PA2.cfm?BU_0_SpeedKey_0_419</vt:lpstr>
      <vt:lpstr>'Web Links'!GetCFData4PA2.cfm?BU_0_SpeedKey_0_42</vt:lpstr>
      <vt:lpstr>'Web Links'!GetCFData4PA2.cfm?BU_0_SpeedKey_0_420</vt:lpstr>
      <vt:lpstr>'Web Links'!GetCFData4PA2.cfm?BU_0_SpeedKey_0_421</vt:lpstr>
      <vt:lpstr>'Web Links'!GetCFData4PA2.cfm?BU_0_SpeedKey_0_422</vt:lpstr>
      <vt:lpstr>'Web Links'!GetCFData4PA2.cfm?BU_0_SpeedKey_0_423</vt:lpstr>
      <vt:lpstr>'Web Links'!GetCFData4PA2.cfm?BU_0_SpeedKey_0_424</vt:lpstr>
      <vt:lpstr>'Web Links'!GetCFData4PA2.cfm?BU_0_SpeedKey_0_425</vt:lpstr>
      <vt:lpstr>'Web Links'!GetCFData4PA2.cfm?BU_0_SpeedKey_0_426</vt:lpstr>
      <vt:lpstr>'Web Links'!GetCFData4PA2.cfm?BU_0_SpeedKey_0_427</vt:lpstr>
      <vt:lpstr>'Web Links'!GetCFData4PA2.cfm?BU_0_SpeedKey_0_428</vt:lpstr>
      <vt:lpstr>'Web Links'!GetCFData4PA2.cfm?BU_0_SpeedKey_0_429</vt:lpstr>
      <vt:lpstr>'Web Links'!GetCFData4PA2.cfm?BU_0_SpeedKey_0_43</vt:lpstr>
      <vt:lpstr>'Web Links'!GetCFData4PA2.cfm?BU_0_SpeedKey_0_430</vt:lpstr>
      <vt:lpstr>'Web Links'!GetCFData4PA2.cfm?BU_0_SpeedKey_0_431</vt:lpstr>
      <vt:lpstr>'Web Links'!GetCFData4PA2.cfm?BU_0_SpeedKey_0_432</vt:lpstr>
      <vt:lpstr>'Web Links'!GetCFData4PA2.cfm?BU_0_SpeedKey_0_433</vt:lpstr>
      <vt:lpstr>'Web Links'!GetCFData4PA2.cfm?BU_0_SpeedKey_0_434</vt:lpstr>
      <vt:lpstr>'Web Links'!GetCFData4PA2.cfm?BU_0_SpeedKey_0_435</vt:lpstr>
      <vt:lpstr>'Web Links'!GetCFData4PA2.cfm?BU_0_SpeedKey_0_436</vt:lpstr>
      <vt:lpstr>'Web Links'!GetCFData4PA2.cfm?BU_0_SpeedKey_0_437</vt:lpstr>
      <vt:lpstr>'Web Links'!GetCFData4PA2.cfm?BU_0_SpeedKey_0_438</vt:lpstr>
      <vt:lpstr>'Web Links'!GetCFData4PA2.cfm?BU_0_SpeedKey_0_439</vt:lpstr>
      <vt:lpstr>'Web Links'!GetCFData4PA2.cfm?BU_0_SpeedKey_0_44</vt:lpstr>
      <vt:lpstr>'Web Links'!GetCFData4PA2.cfm?BU_0_SpeedKey_0_440</vt:lpstr>
      <vt:lpstr>'Web Links'!GetCFData4PA2.cfm?BU_0_SpeedKey_0_441</vt:lpstr>
      <vt:lpstr>'Web Links'!GetCFData4PA2.cfm?BU_0_SpeedKey_0_442</vt:lpstr>
      <vt:lpstr>'Web Links'!GetCFData4PA2.cfm?BU_0_SpeedKey_0_443</vt:lpstr>
      <vt:lpstr>'Web Links'!GetCFData4PA2.cfm?BU_0_SpeedKey_0_444</vt:lpstr>
      <vt:lpstr>'Web Links'!GetCFData4PA2.cfm?BU_0_SpeedKey_0_445</vt:lpstr>
      <vt:lpstr>'Web Links'!GetCFData4PA2.cfm?BU_0_SpeedKey_0_446</vt:lpstr>
      <vt:lpstr>'Web Links'!GetCFData4PA2.cfm?BU_0_SpeedKey_0_447</vt:lpstr>
      <vt:lpstr>'Web Links'!GetCFData4PA2.cfm?BU_0_SpeedKey_0_448</vt:lpstr>
      <vt:lpstr>'Web Links'!GetCFData4PA2.cfm?BU_0_SpeedKey_0_449</vt:lpstr>
      <vt:lpstr>'Web Links'!GetCFData4PA2.cfm?BU_0_SpeedKey_0_45</vt:lpstr>
      <vt:lpstr>'Web Links'!GetCFData4PA2.cfm?BU_0_SpeedKey_0_450</vt:lpstr>
      <vt:lpstr>'Web Links'!GetCFData4PA2.cfm?BU_0_SpeedKey_0_451</vt:lpstr>
      <vt:lpstr>'Web Links'!GetCFData4PA2.cfm?BU_0_SpeedKey_0_452</vt:lpstr>
      <vt:lpstr>'Web Links'!GetCFData4PA2.cfm?BU_0_SpeedKey_0_453</vt:lpstr>
      <vt:lpstr>'Web Links'!GetCFData4PA2.cfm?BU_0_SpeedKey_0_454</vt:lpstr>
      <vt:lpstr>'Web Links'!GetCFData4PA2.cfm?BU_0_SpeedKey_0_455</vt:lpstr>
      <vt:lpstr>'Web Links'!GetCFData4PA2.cfm?BU_0_SpeedKey_0_456</vt:lpstr>
      <vt:lpstr>'Web Links'!GetCFData4PA2.cfm?BU_0_SpeedKey_0_457</vt:lpstr>
      <vt:lpstr>'Web Links'!GetCFData4PA2.cfm?BU_0_SpeedKey_0_458</vt:lpstr>
      <vt:lpstr>'Web Links'!GetCFData4PA2.cfm?BU_0_SpeedKey_0_459</vt:lpstr>
      <vt:lpstr>'Web Links'!GetCFData4PA2.cfm?BU_0_SpeedKey_0_46</vt:lpstr>
      <vt:lpstr>'Web Links'!GetCFData4PA2.cfm?BU_0_SpeedKey_0_460</vt:lpstr>
      <vt:lpstr>'Web Links'!GetCFData4PA2.cfm?BU_0_SpeedKey_0_461</vt:lpstr>
      <vt:lpstr>'Web Links'!GetCFData4PA2.cfm?BU_0_SpeedKey_0_462</vt:lpstr>
      <vt:lpstr>'Web Links'!GetCFData4PA2.cfm?BU_0_SpeedKey_0_463</vt:lpstr>
      <vt:lpstr>'Web Links'!GetCFData4PA2.cfm?BU_0_SpeedKey_0_464</vt:lpstr>
      <vt:lpstr>'Web Links'!GetCFData4PA2.cfm?BU_0_SpeedKey_0_465</vt:lpstr>
      <vt:lpstr>'Web Links'!GetCFData4PA2.cfm?BU_0_SpeedKey_0_466</vt:lpstr>
      <vt:lpstr>'Web Links'!GetCFData4PA2.cfm?BU_0_SpeedKey_0_467</vt:lpstr>
      <vt:lpstr>'Web Links'!GetCFData4PA2.cfm?BU_0_SpeedKey_0_468</vt:lpstr>
      <vt:lpstr>'Web Links'!GetCFData4PA2.cfm?BU_0_SpeedKey_0_469</vt:lpstr>
      <vt:lpstr>'Web Links'!GetCFData4PA2.cfm?BU_0_SpeedKey_0_47</vt:lpstr>
      <vt:lpstr>'Web Links'!GetCFData4PA2.cfm?BU_0_SpeedKey_0_470</vt:lpstr>
      <vt:lpstr>'Web Links'!GetCFData4PA2.cfm?BU_0_SpeedKey_0_471</vt:lpstr>
      <vt:lpstr>'Web Links'!GetCFData4PA2.cfm?BU_0_SpeedKey_0_472</vt:lpstr>
      <vt:lpstr>'Web Links'!GetCFData4PA2.cfm?BU_0_SpeedKey_0_473</vt:lpstr>
      <vt:lpstr>'Web Links'!GetCFData4PA2.cfm?BU_0_SpeedKey_0_474</vt:lpstr>
      <vt:lpstr>'Web Links'!GetCFData4PA2.cfm?BU_0_SpeedKey_0_475</vt:lpstr>
      <vt:lpstr>'Web Links'!GetCFData4PA2.cfm?BU_0_SpeedKey_0_476</vt:lpstr>
      <vt:lpstr>'Web Links'!GetCFData4PA2.cfm?BU_0_SpeedKey_0_477</vt:lpstr>
      <vt:lpstr>'Web Links'!GetCFData4PA2.cfm?BU_0_SpeedKey_0_478</vt:lpstr>
      <vt:lpstr>'Web Links'!GetCFData4PA2.cfm?BU_0_SpeedKey_0_479</vt:lpstr>
      <vt:lpstr>'Web Links'!GetCFData4PA2.cfm?BU_0_SpeedKey_0_48</vt:lpstr>
      <vt:lpstr>'Web Links'!GetCFData4PA2.cfm?BU_0_SpeedKey_0_480</vt:lpstr>
      <vt:lpstr>'Web Links'!GetCFData4PA2.cfm?BU_0_SpeedKey_0_481</vt:lpstr>
      <vt:lpstr>'Web Links'!GetCFData4PA2.cfm?BU_0_SpeedKey_0_482</vt:lpstr>
      <vt:lpstr>'Web Links'!GetCFData4PA2.cfm?BU_0_SpeedKey_0_483</vt:lpstr>
      <vt:lpstr>'Web Links'!GetCFData4PA2.cfm?BU_0_SpeedKey_0_484</vt:lpstr>
      <vt:lpstr>'Web Links'!GetCFData4PA2.cfm?BU_0_SpeedKey_0_485</vt:lpstr>
      <vt:lpstr>'Web Links'!GetCFData4PA2.cfm?BU_0_SpeedKey_0_486</vt:lpstr>
      <vt:lpstr>'Web Links'!GetCFData4PA2.cfm?BU_0_SpeedKey_0_487</vt:lpstr>
      <vt:lpstr>'Web Links'!GetCFData4PA2.cfm?BU_0_SpeedKey_0_488</vt:lpstr>
      <vt:lpstr>'Web Links'!GetCFData4PA2.cfm?BU_0_SpeedKey_0_489</vt:lpstr>
      <vt:lpstr>'Web Links'!GetCFData4PA2.cfm?BU_0_SpeedKey_0_49</vt:lpstr>
      <vt:lpstr>'Web Links'!GetCFData4PA2.cfm?BU_0_SpeedKey_0_490</vt:lpstr>
      <vt:lpstr>'Web Links'!GetCFData4PA2.cfm?BU_0_SpeedKey_0_491</vt:lpstr>
      <vt:lpstr>'Web Links'!GetCFData4PA2.cfm?BU_0_SpeedKey_0_492</vt:lpstr>
      <vt:lpstr>'Web Links'!GetCFData4PA2.cfm?BU_0_SpeedKey_0_493</vt:lpstr>
      <vt:lpstr>'Web Links'!GetCFData4PA2.cfm?BU_0_SpeedKey_0_494</vt:lpstr>
      <vt:lpstr>'Web Links'!GetCFData4PA2.cfm?BU_0_SpeedKey_0_495</vt:lpstr>
      <vt:lpstr>'Web Links'!GetCFData4PA2.cfm?BU_0_SpeedKey_0_496</vt:lpstr>
      <vt:lpstr>'Web Links'!GetCFData4PA2.cfm?BU_0_SpeedKey_0_497</vt:lpstr>
      <vt:lpstr>'Web Links'!GetCFData4PA2.cfm?BU_0_SpeedKey_0_498</vt:lpstr>
      <vt:lpstr>'Web Links'!GetCFData4PA2.cfm?BU_0_SpeedKey_0_499</vt:lpstr>
      <vt:lpstr>'Web Links'!GetCFData4PA2.cfm?BU_0_SpeedKey_0_5</vt:lpstr>
      <vt:lpstr>'Web Links'!GetCFData4PA2.cfm?BU_0_SpeedKey_0_50</vt:lpstr>
      <vt:lpstr>'Web Links'!GetCFData4PA2.cfm?BU_0_SpeedKey_0_500</vt:lpstr>
      <vt:lpstr>'Web Links'!GetCFData4PA2.cfm?BU_0_SpeedKey_0_501</vt:lpstr>
      <vt:lpstr>'Web Links'!GetCFData4PA2.cfm?BU_0_SpeedKey_0_502</vt:lpstr>
      <vt:lpstr>'Web Links'!GetCFData4PA2.cfm?BU_0_SpeedKey_0_503</vt:lpstr>
      <vt:lpstr>'Web Links'!GetCFData4PA2.cfm?BU_0_SpeedKey_0_504</vt:lpstr>
      <vt:lpstr>'Web Links'!GetCFData4PA2.cfm?BU_0_SpeedKey_0_51</vt:lpstr>
      <vt:lpstr>'Web Links'!GetCFData4PA2.cfm?BU_0_SpeedKey_0_52</vt:lpstr>
      <vt:lpstr>'Web Links'!GetCFData4PA2.cfm?BU_0_SpeedKey_0_53</vt:lpstr>
      <vt:lpstr>'Web Links'!GetCFData4PA2.cfm?BU_0_SpeedKey_0_54</vt:lpstr>
      <vt:lpstr>'Web Links'!GetCFData4PA2.cfm?BU_0_SpeedKey_0_55</vt:lpstr>
      <vt:lpstr>'Web Links'!GetCFData4PA2.cfm?BU_0_SpeedKey_0_56</vt:lpstr>
      <vt:lpstr>'Web Links'!GetCFData4PA2.cfm?BU_0_SpeedKey_0_57</vt:lpstr>
      <vt:lpstr>'Web Links'!GetCFData4PA2.cfm?BU_0_SpeedKey_0_58</vt:lpstr>
      <vt:lpstr>'Web Links'!GetCFData4PA2.cfm?BU_0_SpeedKey_0_59</vt:lpstr>
      <vt:lpstr>'Web Links'!GetCFData4PA2.cfm?BU_0_SpeedKey_0_6</vt:lpstr>
      <vt:lpstr>'Web Links'!GetCFData4PA2.cfm?BU_0_SpeedKey_0_60</vt:lpstr>
      <vt:lpstr>'Web Links'!GetCFData4PA2.cfm?BU_0_SpeedKey_0_61</vt:lpstr>
      <vt:lpstr>'Web Links'!GetCFData4PA2.cfm?BU_0_SpeedKey_0_62</vt:lpstr>
      <vt:lpstr>'Web Links'!GetCFData4PA2.cfm?BU_0_SpeedKey_0_63</vt:lpstr>
      <vt:lpstr>'Web Links'!GetCFData4PA2.cfm?BU_0_SpeedKey_0_64</vt:lpstr>
      <vt:lpstr>'Web Links'!GetCFData4PA2.cfm?BU_0_SpeedKey_0_65</vt:lpstr>
      <vt:lpstr>'Web Links'!GetCFData4PA2.cfm?BU_0_SpeedKey_0_66</vt:lpstr>
      <vt:lpstr>'Web Links'!GetCFData4PA2.cfm?BU_0_SpeedKey_0_67</vt:lpstr>
      <vt:lpstr>'Web Links'!GetCFData4PA2.cfm?BU_0_SpeedKey_0_68</vt:lpstr>
      <vt:lpstr>'Web Links'!GetCFData4PA2.cfm?BU_0_SpeedKey_0_69</vt:lpstr>
      <vt:lpstr>'Web Links'!GetCFData4PA2.cfm?BU_0_SpeedKey_0_7</vt:lpstr>
      <vt:lpstr>'Web Links'!GetCFData4PA2.cfm?BU_0_SpeedKey_0_70</vt:lpstr>
      <vt:lpstr>'Web Links'!GetCFData4PA2.cfm?BU_0_SpeedKey_0_71</vt:lpstr>
      <vt:lpstr>'Web Links'!GetCFData4PA2.cfm?BU_0_SpeedKey_0_72</vt:lpstr>
      <vt:lpstr>'Web Links'!GetCFData4PA2.cfm?BU_0_SpeedKey_0_73</vt:lpstr>
      <vt:lpstr>'Web Links'!GetCFData4PA2.cfm?BU_0_SpeedKey_0_74</vt:lpstr>
      <vt:lpstr>'Web Links'!GetCFData4PA2.cfm?BU_0_SpeedKey_0_75</vt:lpstr>
      <vt:lpstr>'Web Links'!GetCFData4PA2.cfm?BU_0_SpeedKey_0_76</vt:lpstr>
      <vt:lpstr>'Web Links'!GetCFData4PA2.cfm?BU_0_SpeedKey_0_77</vt:lpstr>
      <vt:lpstr>'Web Links'!GetCFData4PA2.cfm?BU_0_SpeedKey_0_78</vt:lpstr>
      <vt:lpstr>'Web Links'!GetCFData4PA2.cfm?BU_0_SpeedKey_0_79</vt:lpstr>
      <vt:lpstr>'Web Links'!GetCFData4PA2.cfm?BU_0_SpeedKey_0_8</vt:lpstr>
      <vt:lpstr>'Web Links'!GetCFData4PA2.cfm?BU_0_SpeedKey_0_80</vt:lpstr>
      <vt:lpstr>'Web Links'!GetCFData4PA2.cfm?BU_0_SpeedKey_0_81</vt:lpstr>
      <vt:lpstr>'Web Links'!GetCFData4PA2.cfm?BU_0_SpeedKey_0_82</vt:lpstr>
      <vt:lpstr>'Web Links'!GetCFData4PA2.cfm?BU_0_SpeedKey_0_83</vt:lpstr>
      <vt:lpstr>'Web Links'!GetCFData4PA2.cfm?BU_0_SpeedKey_0_84</vt:lpstr>
      <vt:lpstr>'Web Links'!GetCFData4PA2.cfm?BU_0_SpeedKey_0_85</vt:lpstr>
      <vt:lpstr>'Web Links'!GetCFData4PA2.cfm?BU_0_SpeedKey_0_86</vt:lpstr>
      <vt:lpstr>'Web Links'!GetCFData4PA2.cfm?BU_0_SpeedKey_0_87</vt:lpstr>
      <vt:lpstr>'Web Links'!GetCFData4PA2.cfm?BU_0_SpeedKey_0_88</vt:lpstr>
      <vt:lpstr>'Web Links'!GetCFData4PA2.cfm?BU_0_SpeedKey_0_89</vt:lpstr>
      <vt:lpstr>'Web Links'!GetCFData4PA2.cfm?BU_0_SpeedKey_0_9</vt:lpstr>
      <vt:lpstr>'Web Links'!GetCFData4PA2.cfm?BU_0_SpeedKey_0_90</vt:lpstr>
      <vt:lpstr>'Web Links'!GetCFData4PA2.cfm?BU_0_SpeedKey_0_91</vt:lpstr>
      <vt:lpstr>'Web Links'!GetCFData4PA2.cfm?BU_0_SpeedKey_0_92</vt:lpstr>
      <vt:lpstr>'Web Links'!GetCFData4PA2.cfm?BU_0_SpeedKey_0_93</vt:lpstr>
      <vt:lpstr>'Web Links'!GetCFData4PA2.cfm?BU_0_SpeedKey_0_94</vt:lpstr>
      <vt:lpstr>'Web Links'!GetCFData4PA2.cfm?BU_0_SpeedKey_0_95</vt:lpstr>
      <vt:lpstr>'Web Links'!GetCFData4PA2.cfm?BU_0_SpeedKey_0_96</vt:lpstr>
      <vt:lpstr>'Web Links'!GetCFData4PA2.cfm?BU_0_SpeedKey_0_97</vt:lpstr>
      <vt:lpstr>'Web Links'!GetCFData4PA2.cfm?BU_0_SpeedKey_0_98</vt:lpstr>
      <vt:lpstr>'Web Links'!GetCFData4PA2.cfm?BU_0_SpeedKey_0_99</vt:lpstr>
      <vt:lpstr>IB_CURRENT_ENDPOINT</vt:lpstr>
      <vt:lpstr>IB_CURRENT_HOST</vt:lpstr>
      <vt:lpstr>IB_CURRENT_URL</vt:lpstr>
      <vt:lpstr>SOAP!IB_ENDPOINT</vt:lpstr>
      <vt:lpstr>SOAP!IB_HOST</vt:lpstr>
      <vt:lpstr>IB_INSTANCE_DESCRIPTION</vt:lpstr>
      <vt:lpstr>SOAP!IB_URL</vt:lpstr>
      <vt:lpstr>JrnlLn1</vt:lpstr>
      <vt:lpstr>Ledger</vt:lpstr>
      <vt:lpstr>Ledger_List</vt:lpstr>
      <vt:lpstr>Line</vt:lpstr>
      <vt:lpstr>Line_BU</vt:lpstr>
      <vt:lpstr>Line_Descr</vt:lpstr>
      <vt:lpstr>Line_Desrc</vt:lpstr>
      <vt:lpstr>LineBU1</vt:lpstr>
      <vt:lpstr>Monetary_Amount</vt:lpstr>
      <vt:lpstr>MonetaryAmount</vt:lpstr>
      <vt:lpstr>MonetaryAmount1</vt:lpstr>
      <vt:lpstr>Net_Debits_Credits</vt:lpstr>
      <vt:lpstr>'Drop Downs'!OLE_LINK1</vt:lpstr>
      <vt:lpstr>'Drop Downs'!Print_Area</vt:lpstr>
      <vt:lpstr>'GL Template'!Print_Area</vt:lpstr>
      <vt:lpstr>'GL Template'!Print_Titles</vt:lpstr>
      <vt:lpstr>Program</vt:lpstr>
      <vt:lpstr>Program1</vt:lpstr>
      <vt:lpstr>Project_Grant</vt:lpstr>
      <vt:lpstr>ProjGrt1</vt:lpstr>
      <vt:lpstr>Ref</vt:lpstr>
      <vt:lpstr>Reversal_Code</vt:lpstr>
      <vt:lpstr>ReversalCode</vt:lpstr>
      <vt:lpstr>ReversalDate</vt:lpstr>
      <vt:lpstr>Total_Line_Number</vt:lpstr>
      <vt:lpstr>Unitlist</vt:lpstr>
    </vt:vector>
  </TitlesOfParts>
  <Company>UMMS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bloods</dc:creator>
  <cp:lastModifiedBy>Erin Nugent</cp:lastModifiedBy>
  <cp:lastPrinted>2019-09-17T12:59:27Z</cp:lastPrinted>
  <dcterms:created xsi:type="dcterms:W3CDTF">2002-10-03T15:04:37Z</dcterms:created>
  <dcterms:modified xsi:type="dcterms:W3CDTF">2019-10-03T18:27:37Z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